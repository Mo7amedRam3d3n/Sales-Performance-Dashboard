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مشاريعي داتا أناليسز- إيناس\"/>
    </mc:Choice>
  </mc:AlternateContent>
  <xr:revisionPtr revIDLastSave="0" documentId="13_ncr:1_{97DAC86F-C873-4953-BE93-5028E95D17DA}" xr6:coauthVersionLast="47" xr6:coauthVersionMax="47" xr10:uidLastSave="{00000000-0000-0000-0000-000000000000}"/>
  <bookViews>
    <workbookView xWindow="-120" yWindow="-120" windowWidth="20730" windowHeight="11160" activeTab="1" xr2:uid="{E0CC9BC4-86C6-483B-A23A-3A1506FE5FB5}"/>
  </bookViews>
  <sheets>
    <sheet name="Sheet1" sheetId="2" r:id="rId1"/>
    <sheet name="Sheet2" sheetId="4" r:id="rId2"/>
  </sheets>
  <definedNames>
    <definedName name="Slicer_BrandName">#N/A</definedName>
    <definedName name="Slicer_Month">#N/A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pivotCache cacheId="9"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a7d681b9-bda6-4702-9cd6-7c636ad30774" name="Branches" connection="Query - Branches"/>
          <x15:modelTable id="Brands_8271d2b2-7a08-4305-8b81-6b8cba4a8769" name="Brands" connection="Query - Brands"/>
          <x15:modelTable id="Customers_b5745008-0775-4d54-8ebf-76c0927d01dd" name="Customers" connection="Query - Customers"/>
          <x15:modelTable id="PaymentMethods_f74839f1-d0b0-403b-b7a5-cd4731e247d0" name="PaymentMethods" connection="Query - PaymentMethods"/>
          <x15:modelTable id="Products_b9de6374-fa2d-437f-90eb-4240cc7d81d2" name="Products" connection="Query - Products"/>
          <x15:modelTable id="Sales_76d15066-8cb1-4e7b-a373-89f08f4d2f38" name="Sales" connection="Query - Sales"/>
          <x15:modelTable id="Calendar" name="Calendar" connection="Connection"/>
        </x15:modelTables>
        <x15:modelRelationships>
          <x15:modelRelationship fromTable="Products" fromColumn="Brand" toTable="Brands" toColumn="BrandName"/>
          <x15:modelRelationship fromTable="Sales" fromColumn="BranchID" toTable="Branches" toColumn="BranchID"/>
          <x15:modelRelationship fromTable="Sales" fromColumn="CustomerID" toTable="Customers" toColumn="CustomerID"/>
          <x15:modelRelationship fromTable="Sales" fromColumn="PaymentMethod" toTable="PaymentMethods" toColumn="PaymentMethod"/>
          <x15:modelRelationship fromTable="Sales" fromColumn="ProductID" toTable="Products" toColumn="ProductID"/>
          <x15:modelRelationship fromTable="Sale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CC356E-C362-41AD-8CCC-A646286B7B14}" name="Connection" type="104" refreshedVersion="0" background="1">
    <extLst>
      <ext xmlns:x15="http://schemas.microsoft.com/office/spreadsheetml/2010/11/main" uri="{DE250136-89BD-433C-8126-D09CA5730AF9}">
        <x15:connection id="Calendar"/>
      </ext>
    </extLst>
  </connection>
  <connection id="2" xr16:uid="{348A747F-6682-415B-BE3C-F5F6BD34E0A7}" name="Query - Branches" description="Connection to the 'Branches' query in the workbook." type="100" refreshedVersion="8" minRefreshableVersion="5">
    <extLst>
      <ext xmlns:x15="http://schemas.microsoft.com/office/spreadsheetml/2010/11/main" uri="{DE250136-89BD-433C-8126-D09CA5730AF9}">
        <x15:connection id="21e04409-1fec-4529-bb75-632d0f0c47a0"/>
      </ext>
    </extLst>
  </connection>
  <connection id="3" xr16:uid="{E57D37C0-6B86-4204-8CF5-59D55097D3EC}" name="Query - Brands" description="Connection to the 'Brands' query in the workbook." type="100" refreshedVersion="8" minRefreshableVersion="5">
    <extLst>
      <ext xmlns:x15="http://schemas.microsoft.com/office/spreadsheetml/2010/11/main" uri="{DE250136-89BD-433C-8126-D09CA5730AF9}">
        <x15:connection id="e605e3cb-6e6c-4bdd-81d8-bc7a2739c9ae"/>
      </ext>
    </extLst>
  </connection>
  <connection id="4" xr16:uid="{57C2567E-A956-49DC-8655-4D503BBE63AE}" name="Query - Customers" description="Connection to the 'Customers' query in the workbook." type="100" refreshedVersion="8" minRefreshableVersion="5">
    <extLst>
      <ext xmlns:x15="http://schemas.microsoft.com/office/spreadsheetml/2010/11/main" uri="{DE250136-89BD-433C-8126-D09CA5730AF9}">
        <x15:connection id="72527ab1-c25b-4fd3-a8e0-fdf04530c206"/>
      </ext>
    </extLst>
  </connection>
  <connection id="5" xr16:uid="{F3C8B5E8-7039-4E60-AC7B-1A9298729205}" name="Query - PaymentMethods" description="Connection to the 'PaymentMethods' query in the workbook." type="100" refreshedVersion="8" minRefreshableVersion="5">
    <extLst>
      <ext xmlns:x15="http://schemas.microsoft.com/office/spreadsheetml/2010/11/main" uri="{DE250136-89BD-433C-8126-D09CA5730AF9}">
        <x15:connection id="c888ec2b-ed5d-4fb8-9a5a-077a0a2176c2"/>
      </ext>
    </extLst>
  </connection>
  <connection id="6" xr16:uid="{9088F4F0-8918-436C-B3C4-FD0D603405BD}" name="Query - Products" description="Connection to the 'Products' query in the workbook." type="100" refreshedVersion="8" minRefreshableVersion="5">
    <extLst>
      <ext xmlns:x15="http://schemas.microsoft.com/office/spreadsheetml/2010/11/main" uri="{DE250136-89BD-433C-8126-D09CA5730AF9}">
        <x15:connection id="792f241e-38b2-4262-8dbb-869ce3ca0226"/>
      </ext>
    </extLst>
  </connection>
  <connection id="7" xr16:uid="{973A6FB2-CC86-4E24-B5E8-DD01E396973D}" name="Query - Sales" description="Connection to the 'Sales' query in the workbook." type="100" refreshedVersion="8" minRefreshableVersion="5">
    <extLst>
      <ext xmlns:x15="http://schemas.microsoft.com/office/spreadsheetml/2010/11/main" uri="{DE250136-89BD-433C-8126-D09CA5730AF9}">
        <x15:connection id="a5f50dcc-a714-4aff-a08f-a8feab3020fb"/>
      </ext>
    </extLst>
  </connection>
  <connection id="8" xr16:uid="{F4E434BC-0EBA-4247-99DF-B0089A08E7E8}" keepAlive="1" name="Query - Sales 2023" description="Connection to the 'Sales 2023' query in the workbook." type="5" refreshedVersion="0" background="1">
    <dbPr connection="Provider=Microsoft.Mashup.OleDb.1;Data Source=$Workbook$;Location=Sales 2023;Extended Properties=" command="SELECT * FROM [Sales 2023]"/>
  </connection>
  <connection id="9" xr16:uid="{CCEA01CF-BE2A-4C16-8DE7-F5DA33F98AB0}" keepAlive="1" name="Query - Sales 2024" description="Connection to the 'Sales 2024' query in the workbook." type="5" refreshedVersion="0" background="1">
    <dbPr connection="Provider=Microsoft.Mashup.OleDb.1;Data Source=$Workbook$;Location=Sales 2024;Extended Properties=" command="SELECT * FROM [Sales 2024]"/>
  </connection>
  <connection id="10" xr16:uid="{B3249B86-CD6D-441E-B80A-BEA97E5A5E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<sst xmlns="http://schemas.openxmlformats.org/spreadsheetml/2006/main" count="63" uniqueCount="36">
  <si>
    <t>Bank Transfer</t>
  </si>
  <si>
    <t>Credit Card</t>
  </si>
  <si>
    <t>PayPal</t>
  </si>
  <si>
    <t>Cash</t>
  </si>
  <si>
    <t>Row Labels</t>
  </si>
  <si>
    <t>Brand A</t>
  </si>
  <si>
    <t>Brand B</t>
  </si>
  <si>
    <t>Brand C</t>
  </si>
  <si>
    <t>Brand D</t>
  </si>
  <si>
    <t>Brand E</t>
  </si>
  <si>
    <t>Grand Total</t>
  </si>
  <si>
    <t>Total Sales</t>
  </si>
  <si>
    <t>Beauty</t>
  </si>
  <si>
    <t>Electronics</t>
  </si>
  <si>
    <t>Fashion</t>
  </si>
  <si>
    <t>Home</t>
  </si>
  <si>
    <t>Sports</t>
  </si>
  <si>
    <t>January</t>
  </si>
  <si>
    <t>February</t>
  </si>
  <si>
    <t>March</t>
  </si>
  <si>
    <t>April</t>
  </si>
  <si>
    <t>May</t>
  </si>
  <si>
    <t>June</t>
  </si>
  <si>
    <t>July</t>
  </si>
  <si>
    <t>August</t>
  </si>
  <si>
    <t>September</t>
  </si>
  <si>
    <t>October</t>
  </si>
  <si>
    <t>November</t>
  </si>
  <si>
    <t>December</t>
  </si>
  <si>
    <t>Column Labels</t>
  </si>
  <si>
    <t>Branch 1</t>
  </si>
  <si>
    <t>Branch 2</t>
  </si>
  <si>
    <t>Branch 3</t>
  </si>
  <si>
    <t>Branch 4</t>
  </si>
  <si>
    <t>Branch 5</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</si>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</sst>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pivotButton="1" applyAlignment="1">
      <alignment horizontal="center"/>
    </xf>
    <xf numFmtId="0" fontId="0" fillId="0" borderId="0" xfId="0" applyAlignment="1">
      <alignment horizontal="center"/>
    </xf>
    <xf numFmtId="3" fontId="0" fillId="0" borderId="0" xfId="0" applyNumberFormat="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3" fontId="0" fillId="0" borderId="0" xfId="0" applyNumberFormat="1" applyAlignment="1">
      <alignment horizontal="center" vertical="center"/>
    </xf>
    <xf numFmtId="0" fontId="0" fillId="2" borderId="0" xfId="0" applyFill="1"/>
  </cellXfs>
  <cellStyles count="1">
    <cellStyle name="Normal" xfId="0" builtinId="0"/>
  </cellStyles>
  <dxfs count="24">
    <dxf>
      <alignment vertical="bottom"/>
    </dxf>
    <dxf>
      <alignment horizontal="center"/>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Dashboard.xlsx]Sheet1!PivotTable4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Per Branch</a:t>
            </a:r>
          </a:p>
        </c:rich>
      </c:tx>
      <c:layout>
        <c:manualLayout>
          <c:xMode val="edge"/>
          <c:yMode val="edge"/>
          <c:x val="0.37660147320294646"/>
          <c:y val="5.17003719858758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3626025970576"/>
          <c:y val="0.21464120370370374"/>
          <c:w val="0.82454535421522634"/>
          <c:h val="0.72170138888888891"/>
        </c:manualLayout>
      </c:layout>
      <c:barChart>
        <c:barDir val="bar"/>
        <c:grouping val="clustered"/>
        <c:varyColors val="0"/>
        <c:ser>
          <c:idx val="0"/>
          <c:order val="0"/>
          <c:tx>
            <c:strRef>
              <c:f>Sheet1!$N$3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Sheet1!$M$4:$M$9</c:f>
              <c:strCache>
                <c:ptCount val="5"/>
                <c:pt idx="0">
                  <c:v>Branch 5</c:v>
                </c:pt>
                <c:pt idx="1">
                  <c:v>Branch 2</c:v>
                </c:pt>
                <c:pt idx="2">
                  <c:v>Branch 1</c:v>
                </c:pt>
                <c:pt idx="3">
                  <c:v>Branch 4</c:v>
                </c:pt>
                <c:pt idx="4">
                  <c:v>Branch 3</c:v>
                </c:pt>
              </c:strCache>
            </c:strRef>
          </c:cat>
          <c:val>
            <c:numRef>
              <c:f>Sheet1!$N$4:$N$9</c:f>
              <c:numCache>
                <c:formatCode>#,##0</c:formatCode>
                <c:ptCount val="5"/>
                <c:pt idx="0">
                  <c:v>182583.18</c:v>
                </c:pt>
                <c:pt idx="1">
                  <c:v>186559.72</c:v>
                </c:pt>
                <c:pt idx="2">
                  <c:v>199602.78</c:v>
                </c:pt>
                <c:pt idx="3">
                  <c:v>200794.31</c:v>
                </c:pt>
                <c:pt idx="4">
                  <c:v>205153.17</c:v>
                </c:pt>
              </c:numCache>
            </c:numRef>
          </c:val>
          <c:extLst>
            <c:ext xmlns:c16="http://schemas.microsoft.com/office/drawing/2014/chart" uri="{C3380CC4-5D6E-409C-BE32-E72D297353CC}">
              <c16:uniqueId val="{00000000-3D0F-4493-9AFC-02F994011158}"/>
            </c:ext>
          </c:extLst>
        </c:ser>
        <c:dLbls>
          <c:dLblPos val="outEnd"/>
          <c:showLegendKey val="0"/>
          <c:showVal val="1"/>
          <c:showCatName val="0"/>
          <c:showSerName val="0"/>
          <c:showPercent val="0"/>
          <c:showBubbleSize val="0"/>
        </c:dLbls>
        <c:gapWidth val="182"/>
        <c:axId val="484640712"/>
        <c:axId val="484641072"/>
      </c:barChart>
      <c:catAx>
        <c:axId val="484640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484641072"/>
        <c:crosses val="autoZero"/>
        <c:auto val="1"/>
        <c:lblAlgn val="ctr"/>
        <c:lblOffset val="100"/>
        <c:noMultiLvlLbl val="0"/>
      </c:catAx>
      <c:valAx>
        <c:axId val="48464107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84640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Dashboard.xlsx]Sheet1!PivotTable3</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Per Month</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Sheet1!$I$4:$I$16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Sheet1!$J$4:$J$16</c:f>
              <c:numCache>
                <c:formatCode>#,##0</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0-CC6A-42D2-8630-2F7B76C8F5E3}"/>
            </c:ext>
          </c:extLst>
        </c:ser>
        <c:dLbls>
          <c:dLblPos val="t"/>
          <c:showLegendKey val="0"/>
          <c:showVal val="1"/>
          <c:showCatName val="0"/>
          <c:showSerName val="0"/>
          <c:showPercent val="0"/>
          <c:showBubbleSize val="0"/>
        </c:dLbls>
        <c:marker val="1"/>
        <c:smooth val="0"/>
        <c:axId val="1019145648"/>
        <c:axId val="961413576"/>
      </c:lineChart>
      <c:catAx>
        <c:axId val="101914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95000"/>
                    <a:lumOff val="5000"/>
                  </a:schemeClr>
                </a:solidFill>
                <a:latin typeface="+mn-lt"/>
                <a:ea typeface="+mn-ea"/>
                <a:cs typeface="+mn-cs"/>
              </a:defRPr>
            </a:pPr>
            <a:endParaRPr lang="en-US"/>
          </a:p>
        </c:txPr>
        <c:crossAx val="961413576"/>
        <c:crosses val="autoZero"/>
        <c:auto val="1"/>
        <c:lblAlgn val="ctr"/>
        <c:lblOffset val="100"/>
        <c:noMultiLvlLbl val="0"/>
      </c:catAx>
      <c:valAx>
        <c:axId val="96141357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1914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Dashboard.xlsx]Sheet1!PivotTable5</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Per PaymentMethod</a:t>
            </a:r>
          </a:p>
        </c:rich>
      </c:tx>
      <c:layout>
        <c:manualLayout>
          <c:xMode val="edge"/>
          <c:yMode val="edge"/>
          <c:x val="0.20950789229340758"/>
          <c:y val="6.7956095100807329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Sheet1!$D$12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5D-4A3D-8190-AD7666DEDF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D-4A3D-8190-AD7666DEDF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5D-4A3D-8190-AD7666DEDF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5D-4A3D-8190-AD7666DEDF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Sheet1!$C$13:$C$17</c:f>
              <c:strCache>
                <c:ptCount val="4"/>
                <c:pt idx="0">
                  <c:v>PayPal</c:v>
                </c:pt>
                <c:pt idx="1">
                  <c:v>Credit Card</c:v>
                </c:pt>
                <c:pt idx="2">
                  <c:v>Cash</c:v>
                </c:pt>
                <c:pt idx="3">
                  <c:v>Bank Transfer</c:v>
                </c:pt>
              </c:strCache>
            </c:strRef>
          </c:cat>
          <c:val>
            <c:numRef>
              <c:f>Sheet1!$D$13:$D$17</c:f>
              <c:numCache>
                <c:formatCode>#,##0</c:formatCode>
                <c:ptCount val="4"/>
                <c:pt idx="0">
                  <c:v>268474.44</c:v>
                </c:pt>
                <c:pt idx="1">
                  <c:v>248972.84</c:v>
                </c:pt>
                <c:pt idx="2">
                  <c:v>233038.02</c:v>
                </c:pt>
                <c:pt idx="3">
                  <c:v>224207.86</c:v>
                </c:pt>
              </c:numCache>
            </c:numRef>
          </c:val>
          <c:extLst>
            <c:ext xmlns:c16="http://schemas.microsoft.com/office/drawing/2014/chart" uri="{C3380CC4-5D6E-409C-BE32-E72D297353CC}">
              <c16:uniqueId val="{00000008-4B5D-4A3D-8190-AD7666DEDF7D}"/>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Dashboard.xlsx]Sheet1!PivotTable6</c:name>
    <c:fmtId val="11"/>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by Category&amp;Brand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Sheet1!$N$14:$N$15</c:f>
              <c:strCache>
                <c:ptCount val="1"/>
                <c:pt idx="0">
                  <c:v>Brand 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Sheet1!$M$16:$M$21</c:f>
              <c:strCache>
                <c:ptCount val="5"/>
                <c:pt idx="0">
                  <c:v>Beauty</c:v>
                </c:pt>
                <c:pt idx="1">
                  <c:v>Electronics</c:v>
                </c:pt>
                <c:pt idx="2">
                  <c:v>Fashion</c:v>
                </c:pt>
                <c:pt idx="3">
                  <c:v>Home</c:v>
                </c:pt>
                <c:pt idx="4">
                  <c:v>Sports</c:v>
                </c:pt>
              </c:strCache>
            </c:strRef>
          </c:cat>
          <c:val>
            <c:numRef>
              <c:f>Sheet1!$N$16:$N$21</c:f>
              <c:numCache>
                <c:formatCode>#,##0</c:formatCode>
                <c:ptCount val="5"/>
                <c:pt idx="0">
                  <c:v>16945.87</c:v>
                </c:pt>
                <c:pt idx="1">
                  <c:v>40237.67</c:v>
                </c:pt>
                <c:pt idx="2">
                  <c:v>37171.54</c:v>
                </c:pt>
                <c:pt idx="3">
                  <c:v>33578.839999999997</c:v>
                </c:pt>
                <c:pt idx="4">
                  <c:v>36357.589999999997</c:v>
                </c:pt>
              </c:numCache>
            </c:numRef>
          </c:val>
          <c:extLst>
            <c:ext xmlns:c16="http://schemas.microsoft.com/office/drawing/2014/chart" uri="{C3380CC4-5D6E-409C-BE32-E72D297353CC}">
              <c16:uniqueId val="{00000000-2F01-4496-BF3E-F2E83CA449A9}"/>
            </c:ext>
          </c:extLst>
        </c:ser>
        <c:ser>
          <c:idx val="1"/>
          <c:order val="1"/>
          <c:tx>
            <c:strRef>
              <c:f>Sheet1!$O$14:$O$15</c:f>
              <c:strCache>
                <c:ptCount val="1"/>
                <c:pt idx="0">
                  <c:v>Brand 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Sheet1!$M$16:$M$21</c:f>
              <c:strCache>
                <c:ptCount val="5"/>
                <c:pt idx="0">
                  <c:v>Beauty</c:v>
                </c:pt>
                <c:pt idx="1">
                  <c:v>Electronics</c:v>
                </c:pt>
                <c:pt idx="2">
                  <c:v>Fashion</c:v>
                </c:pt>
                <c:pt idx="3">
                  <c:v>Home</c:v>
                </c:pt>
                <c:pt idx="4">
                  <c:v>Sports</c:v>
                </c:pt>
              </c:strCache>
            </c:strRef>
          </c:cat>
          <c:val>
            <c:numRef>
              <c:f>Sheet1!$O$16:$O$21</c:f>
              <c:numCache>
                <c:formatCode>#,##0</c:formatCode>
                <c:ptCount val="5"/>
                <c:pt idx="0">
                  <c:v>47719.63</c:v>
                </c:pt>
                <c:pt idx="1">
                  <c:v>32167.33</c:v>
                </c:pt>
                <c:pt idx="2">
                  <c:v>66804.320000000007</c:v>
                </c:pt>
                <c:pt idx="3">
                  <c:v>38963.07</c:v>
                </c:pt>
                <c:pt idx="4">
                  <c:v>26684.9</c:v>
                </c:pt>
              </c:numCache>
            </c:numRef>
          </c:val>
          <c:extLst>
            <c:ext xmlns:c16="http://schemas.microsoft.com/office/drawing/2014/chart" uri="{C3380CC4-5D6E-409C-BE32-E72D297353CC}">
              <c16:uniqueId val="{00000021-2F01-4496-BF3E-F2E83CA449A9}"/>
            </c:ext>
          </c:extLst>
        </c:ser>
        <c:ser>
          <c:idx val="2"/>
          <c:order val="2"/>
          <c:tx>
            <c:strRef>
              <c:f>Sheet1!$P$14:$P$15</c:f>
              <c:strCache>
                <c:ptCount val="1"/>
                <c:pt idx="0">
                  <c:v>Brand 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Sheet1!$M$16:$M$21</c:f>
              <c:strCache>
                <c:ptCount val="5"/>
                <c:pt idx="0">
                  <c:v>Beauty</c:v>
                </c:pt>
                <c:pt idx="1">
                  <c:v>Electronics</c:v>
                </c:pt>
                <c:pt idx="2">
                  <c:v>Fashion</c:v>
                </c:pt>
                <c:pt idx="3">
                  <c:v>Home</c:v>
                </c:pt>
                <c:pt idx="4">
                  <c:v>Sports</c:v>
                </c:pt>
              </c:strCache>
            </c:strRef>
          </c:cat>
          <c:val>
            <c:numRef>
              <c:f>Sheet1!$P$16:$P$21</c:f>
              <c:numCache>
                <c:formatCode>#,##0</c:formatCode>
                <c:ptCount val="5"/>
                <c:pt idx="0">
                  <c:v>37907.71</c:v>
                </c:pt>
                <c:pt idx="1">
                  <c:v>45580.26</c:v>
                </c:pt>
                <c:pt idx="2">
                  <c:v>42232.26</c:v>
                </c:pt>
                <c:pt idx="3">
                  <c:v>34144.01</c:v>
                </c:pt>
                <c:pt idx="4">
                  <c:v>36427.300000000003</c:v>
                </c:pt>
              </c:numCache>
            </c:numRef>
          </c:val>
          <c:extLst>
            <c:ext xmlns:c16="http://schemas.microsoft.com/office/drawing/2014/chart" uri="{C3380CC4-5D6E-409C-BE32-E72D297353CC}">
              <c16:uniqueId val="{00000022-2F01-4496-BF3E-F2E83CA449A9}"/>
            </c:ext>
          </c:extLst>
        </c:ser>
        <c:ser>
          <c:idx val="3"/>
          <c:order val="3"/>
          <c:tx>
            <c:strRef>
              <c:f>Sheet1!$Q$14:$Q$15</c:f>
              <c:strCache>
                <c:ptCount val="1"/>
                <c:pt idx="0">
                  <c:v>Brand 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Sheet1!$M$16:$M$21</c:f>
              <c:strCache>
                <c:ptCount val="5"/>
                <c:pt idx="0">
                  <c:v>Beauty</c:v>
                </c:pt>
                <c:pt idx="1">
                  <c:v>Electronics</c:v>
                </c:pt>
                <c:pt idx="2">
                  <c:v>Fashion</c:v>
                </c:pt>
                <c:pt idx="3">
                  <c:v>Home</c:v>
                </c:pt>
                <c:pt idx="4">
                  <c:v>Sports</c:v>
                </c:pt>
              </c:strCache>
            </c:strRef>
          </c:cat>
          <c:val>
            <c:numRef>
              <c:f>Sheet1!$Q$16:$Q$21</c:f>
              <c:numCache>
                <c:formatCode>#,##0</c:formatCode>
                <c:ptCount val="5"/>
                <c:pt idx="0">
                  <c:v>48230.21</c:v>
                </c:pt>
                <c:pt idx="1">
                  <c:v>50415.79</c:v>
                </c:pt>
                <c:pt idx="2">
                  <c:v>36409.85</c:v>
                </c:pt>
                <c:pt idx="3">
                  <c:v>36480.61</c:v>
                </c:pt>
                <c:pt idx="4">
                  <c:v>48291.85</c:v>
                </c:pt>
              </c:numCache>
            </c:numRef>
          </c:val>
          <c:extLst>
            <c:ext xmlns:c16="http://schemas.microsoft.com/office/drawing/2014/chart" uri="{C3380CC4-5D6E-409C-BE32-E72D297353CC}">
              <c16:uniqueId val="{00000023-2F01-4496-BF3E-F2E83CA449A9}"/>
            </c:ext>
          </c:extLst>
        </c:ser>
        <c:ser>
          <c:idx val="4"/>
          <c:order val="4"/>
          <c:tx>
            <c:strRef>
              <c:f>Sheet1!$R$14:$R$15</c:f>
              <c:strCache>
                <c:ptCount val="1"/>
                <c:pt idx="0">
                  <c:v>Brand 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Sheet1!$M$16:$M$21</c:f>
              <c:strCache>
                <c:ptCount val="5"/>
                <c:pt idx="0">
                  <c:v>Beauty</c:v>
                </c:pt>
                <c:pt idx="1">
                  <c:v>Electronics</c:v>
                </c:pt>
                <c:pt idx="2">
                  <c:v>Fashion</c:v>
                </c:pt>
                <c:pt idx="3">
                  <c:v>Home</c:v>
                </c:pt>
                <c:pt idx="4">
                  <c:v>Sports</c:v>
                </c:pt>
              </c:strCache>
            </c:strRef>
          </c:cat>
          <c:val>
            <c:numRef>
              <c:f>Sheet1!$R$16:$R$21</c:f>
              <c:numCache>
                <c:formatCode>#,##0</c:formatCode>
                <c:ptCount val="5"/>
                <c:pt idx="0">
                  <c:v>36975.919999999998</c:v>
                </c:pt>
                <c:pt idx="1">
                  <c:v>31954.09</c:v>
                </c:pt>
                <c:pt idx="2">
                  <c:v>38684.06</c:v>
                </c:pt>
                <c:pt idx="3">
                  <c:v>41831.1</c:v>
                </c:pt>
                <c:pt idx="4">
                  <c:v>32497.38</c:v>
                </c:pt>
              </c:numCache>
            </c:numRef>
          </c:val>
          <c:extLst>
            <c:ext xmlns:c16="http://schemas.microsoft.com/office/drawing/2014/chart" uri="{C3380CC4-5D6E-409C-BE32-E72D297353CC}">
              <c16:uniqueId val="{00000024-2F01-4496-BF3E-F2E83CA449A9}"/>
            </c:ext>
          </c:extLst>
        </c:ser>
        <c:dLbls>
          <c:dLblPos val="ctr"/>
          <c:showLegendKey val="0"/>
          <c:showVal val="1"/>
          <c:showCatName val="0"/>
          <c:showSerName val="0"/>
          <c:showPercent val="0"/>
          <c:showBubbleSize val="0"/>
        </c:dLbls>
        <c:gapWidth val="150"/>
        <c:overlap val="100"/>
        <c:axId val="94076543"/>
        <c:axId val="94077263"/>
      </c:barChart>
      <c:catAx>
        <c:axId val="9407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95000"/>
                    <a:lumOff val="5000"/>
                  </a:schemeClr>
                </a:solidFill>
                <a:latin typeface="+mn-lt"/>
                <a:ea typeface="+mn-ea"/>
                <a:cs typeface="+mn-cs"/>
              </a:defRPr>
            </a:pPr>
            <a:endParaRPr lang="en-US"/>
          </a:p>
        </c:txPr>
        <c:crossAx val="94077263"/>
        <c:crosses val="autoZero"/>
        <c:auto val="1"/>
        <c:lblAlgn val="ctr"/>
        <c:lblOffset val="100"/>
        <c:noMultiLvlLbl val="0"/>
      </c:catAx>
      <c:valAx>
        <c:axId val="940772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4076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Dashboard.xlsx]Sheet1!PivotTable2</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Per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Sheet1!$F$4:$F$9</c:f>
              <c:strCache>
                <c:ptCount val="5"/>
                <c:pt idx="0">
                  <c:v>Fashion</c:v>
                </c:pt>
                <c:pt idx="1">
                  <c:v>Electronics</c:v>
                </c:pt>
                <c:pt idx="2">
                  <c:v>Beauty</c:v>
                </c:pt>
                <c:pt idx="3">
                  <c:v>Home</c:v>
                </c:pt>
                <c:pt idx="4">
                  <c:v>Sports</c:v>
                </c:pt>
              </c:strCache>
            </c:strRef>
          </c:cat>
          <c:val>
            <c:numRef>
              <c:f>Sheet1!$G$4:$G$9</c:f>
              <c:numCache>
                <c:formatCode>#,##0</c:formatCode>
                <c:ptCount val="5"/>
                <c:pt idx="0">
                  <c:v>221302.03</c:v>
                </c:pt>
                <c:pt idx="1">
                  <c:v>200355.14</c:v>
                </c:pt>
                <c:pt idx="2">
                  <c:v>187779.34</c:v>
                </c:pt>
                <c:pt idx="3">
                  <c:v>184997.63</c:v>
                </c:pt>
                <c:pt idx="4">
                  <c:v>180259.02</c:v>
                </c:pt>
              </c:numCache>
            </c:numRef>
          </c:val>
          <c:extLst>
            <c:ext xmlns:c16="http://schemas.microsoft.com/office/drawing/2014/chart" uri="{C3380CC4-5D6E-409C-BE32-E72D297353CC}">
              <c16:uniqueId val="{00000000-06EA-47E8-B4AD-847FB73933B2}"/>
            </c:ext>
          </c:extLst>
        </c:ser>
        <c:dLbls>
          <c:dLblPos val="outEnd"/>
          <c:showLegendKey val="0"/>
          <c:showVal val="1"/>
          <c:showCatName val="0"/>
          <c:showSerName val="0"/>
          <c:showPercent val="0"/>
          <c:showBubbleSize val="0"/>
        </c:dLbls>
        <c:gapWidth val="219"/>
        <c:overlap val="-27"/>
        <c:axId val="267225983"/>
        <c:axId val="267220223"/>
      </c:barChart>
      <c:catAx>
        <c:axId val="26722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95000"/>
                    <a:lumOff val="5000"/>
                  </a:schemeClr>
                </a:solidFill>
                <a:latin typeface="+mn-lt"/>
                <a:ea typeface="+mn-ea"/>
                <a:cs typeface="+mn-cs"/>
              </a:defRPr>
            </a:pPr>
            <a:endParaRPr lang="en-US"/>
          </a:p>
        </c:txPr>
        <c:crossAx val="267220223"/>
        <c:crosses val="autoZero"/>
        <c:auto val="1"/>
        <c:lblAlgn val="ctr"/>
        <c:lblOffset val="100"/>
        <c:noMultiLvlLbl val="0"/>
      </c:catAx>
      <c:valAx>
        <c:axId val="26722022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67225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a:t>
            </a:r>
            <a:r>
              <a:rPr lang="en-US" baseline="0"/>
              <a:t>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Sheet1!$C$4:$C$9</c:f>
              <c:strCache>
                <c:ptCount val="5"/>
                <c:pt idx="0">
                  <c:v>Brand D</c:v>
                </c:pt>
                <c:pt idx="1">
                  <c:v>Brand B</c:v>
                </c:pt>
                <c:pt idx="2">
                  <c:v>Brand C</c:v>
                </c:pt>
                <c:pt idx="3">
                  <c:v>Brand E</c:v>
                </c:pt>
                <c:pt idx="4">
                  <c:v>Brand A</c:v>
                </c:pt>
              </c:strCache>
            </c:strRef>
          </c:cat>
          <c:val>
            <c:numRef>
              <c:f>Sheet1!$D$4:$D$9</c:f>
              <c:numCache>
                <c:formatCode>#,##0</c:formatCode>
                <c:ptCount val="5"/>
                <c:pt idx="0">
                  <c:v>219828.31</c:v>
                </c:pt>
                <c:pt idx="1">
                  <c:v>212339.25</c:v>
                </c:pt>
                <c:pt idx="2">
                  <c:v>196291.54</c:v>
                </c:pt>
                <c:pt idx="3">
                  <c:v>181942.55</c:v>
                </c:pt>
                <c:pt idx="4">
                  <c:v>164291.51</c:v>
                </c:pt>
              </c:numCache>
            </c:numRef>
          </c:val>
          <c:extLst>
            <c:ext xmlns:c16="http://schemas.microsoft.com/office/drawing/2014/chart" uri="{C3380CC4-5D6E-409C-BE32-E72D297353CC}">
              <c16:uniqueId val="{00000000-7867-4C46-990D-DC981CC666BF}"/>
            </c:ext>
          </c:extLst>
        </c:ser>
        <c:dLbls>
          <c:dLblPos val="outEnd"/>
          <c:showLegendKey val="0"/>
          <c:showVal val="1"/>
          <c:showCatName val="0"/>
          <c:showSerName val="0"/>
          <c:showPercent val="0"/>
          <c:showBubbleSize val="0"/>
        </c:dLbls>
        <c:gapWidth val="219"/>
        <c:overlap val="-27"/>
        <c:axId val="86680327"/>
        <c:axId val="86683567"/>
      </c:barChart>
      <c:catAx>
        <c:axId val="86680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83567"/>
        <c:crosses val="autoZero"/>
        <c:auto val="1"/>
        <c:lblAlgn val="ctr"/>
        <c:lblOffset val="100"/>
        <c:noMultiLvlLbl val="0"/>
      </c:catAx>
      <c:valAx>
        <c:axId val="8668356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6680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86917</xdr:colOff>
      <xdr:row>5</xdr:row>
      <xdr:rowOff>180973</xdr:rowOff>
    </xdr:from>
    <xdr:to>
      <xdr:col>7</xdr:col>
      <xdr:colOff>67867</xdr:colOff>
      <xdr:row>17</xdr:row>
      <xdr:rowOff>89533</xdr:rowOff>
    </xdr:to>
    <xdr:graphicFrame macro="">
      <xdr:nvGraphicFramePr>
        <xdr:cNvPr id="2" name="Chart 1">
          <a:extLst>
            <a:ext uri="{FF2B5EF4-FFF2-40B4-BE49-F238E27FC236}">
              <a16:creationId xmlns:a16="http://schemas.microsoft.com/office/drawing/2014/main" id="{817BC9E7-2D25-475F-A302-41F6E89D9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133349</xdr:colOff>
      <xdr:row>5</xdr:row>
      <xdr:rowOff>180973</xdr:rowOff>
    </xdr:from>
    <xdr:to>
      <xdr:col>14</xdr:col>
      <xdr:colOff>255269</xdr:colOff>
      <xdr:row>17</xdr:row>
      <xdr:rowOff>89533</xdr:rowOff>
    </xdr:to>
    <xdr:graphicFrame macro="">
      <xdr:nvGraphicFramePr>
        <xdr:cNvPr id="3" name="Chart 2">
          <a:extLst>
            <a:ext uri="{FF2B5EF4-FFF2-40B4-BE49-F238E27FC236}">
              <a16:creationId xmlns:a16="http://schemas.microsoft.com/office/drawing/2014/main" id="{867C1958-0F52-4EE0-B6B4-B9643AD2E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133349</xdr:colOff>
      <xdr:row>17</xdr:row>
      <xdr:rowOff>142874</xdr:rowOff>
    </xdr:from>
    <xdr:to>
      <xdr:col>14</xdr:col>
      <xdr:colOff>255269</xdr:colOff>
      <xdr:row>29</xdr:row>
      <xdr:rowOff>51434</xdr:rowOff>
    </xdr:to>
    <xdr:graphicFrame macro="">
      <xdr:nvGraphicFramePr>
        <xdr:cNvPr id="4" name="Chart 3">
          <a:extLst>
            <a:ext uri="{FF2B5EF4-FFF2-40B4-BE49-F238E27FC236}">
              <a16:creationId xmlns:a16="http://schemas.microsoft.com/office/drawing/2014/main" id="{8B13A29B-BFC5-4EE5-93A2-AA36033E4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86918</xdr:colOff>
      <xdr:row>17</xdr:row>
      <xdr:rowOff>142874</xdr:rowOff>
    </xdr:from>
    <xdr:to>
      <xdr:col>7</xdr:col>
      <xdr:colOff>67866</xdr:colOff>
      <xdr:row>29</xdr:row>
      <xdr:rowOff>51434</xdr:rowOff>
    </xdr:to>
    <xdr:graphicFrame macro="">
      <xdr:nvGraphicFramePr>
        <xdr:cNvPr id="5" name="Chart 4">
          <a:extLst>
            <a:ext uri="{FF2B5EF4-FFF2-40B4-BE49-F238E27FC236}">
              <a16:creationId xmlns:a16="http://schemas.microsoft.com/office/drawing/2014/main" id="{A33C1109-7675-4591-9CBD-023204D51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203199</xdr:colOff>
      <xdr:row>2</xdr:row>
      <xdr:rowOff>101494</xdr:rowOff>
    </xdr:from>
    <xdr:to>
      <xdr:col>3</xdr:col>
      <xdr:colOff>111759</xdr:colOff>
      <xdr:row>5</xdr:row>
      <xdr:rowOff>99589</xdr:rowOff>
    </xdr:to>
    <xdr:grpSp>
      <xdr:nvGrpSpPr>
        <xdr:cNvPr id="16" name="Group 15">
          <a:extLst>
            <a:ext uri="{FF2B5EF4-FFF2-40B4-BE49-F238E27FC236}">
              <a16:creationId xmlns:a16="http://schemas.microsoft.com/office/drawing/2014/main" id="{1642943F-1120-7AAA-49F2-5BF54CEE666B}"/>
            </a:ext>
          </a:extLst>
        </xdr:cNvPr>
        <xdr:cNvGrpSpPr/>
      </xdr:nvGrpSpPr>
      <xdr:grpSpPr>
        <a:xfrm>
          <a:off x="203199" y="482494"/>
          <a:ext cx="1750060" cy="569595"/>
          <a:chOff x="171450" y="544830"/>
          <a:chExt cx="1750060" cy="569595"/>
        </a:xfrm>
      </xdr:grpSpPr>
      <xdr:sp macro="" textlink="">
        <xdr:nvSpPr>
          <xdr:cNvPr id="6" name="Rectangle: Rounded Corners 5">
            <a:extLst>
              <a:ext uri="{FF2B5EF4-FFF2-40B4-BE49-F238E27FC236}">
                <a16:creationId xmlns:a16="http://schemas.microsoft.com/office/drawing/2014/main" id="{17C38126-260E-AFAB-8864-E068E9188C56}"/>
              </a:ext>
            </a:extLst>
          </xdr:cNvPr>
          <xdr:cNvSpPr/>
        </xdr:nvSpPr>
        <xdr:spPr>
          <a:xfrm>
            <a:off x="171450" y="544830"/>
            <a:ext cx="175006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Total Sales</a:t>
            </a:r>
          </a:p>
        </xdr:txBody>
      </xdr:sp>
      <xdr:sp macro="" textlink="Sheet1!B24">
        <xdr:nvSpPr>
          <xdr:cNvPr id="8" name="TextBox 7">
            <a:extLst>
              <a:ext uri="{FF2B5EF4-FFF2-40B4-BE49-F238E27FC236}">
                <a16:creationId xmlns:a16="http://schemas.microsoft.com/office/drawing/2014/main" id="{7D1A99AC-4E49-742D-13DB-CA750476E145}"/>
              </a:ext>
            </a:extLst>
          </xdr:cNvPr>
          <xdr:cNvSpPr txBox="1"/>
        </xdr:nvSpPr>
        <xdr:spPr>
          <a:xfrm>
            <a:off x="523875" y="847725"/>
            <a:ext cx="105621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27A2FB-5AA4-42C0-8634-BD7CA2613F0D}" type="TxLink">
              <a:rPr lang="en-US" sz="1100" b="1" i="0" u="none" strike="noStrike">
                <a:solidFill>
                  <a:srgbClr val="FFFF00"/>
                </a:solidFill>
                <a:latin typeface="Aptos Narrow"/>
              </a:rPr>
              <a:pPr algn="ctr"/>
              <a:t>974,693</a:t>
            </a:fld>
            <a:endParaRPr lang="en-US" sz="1100" b="1">
              <a:solidFill>
                <a:srgbClr val="FFFF00"/>
              </a:solidFill>
            </a:endParaRPr>
          </a:p>
        </xdr:txBody>
      </xdr:sp>
    </xdr:grpSp>
    <xdr:clientData/>
  </xdr:twoCellAnchor>
  <xdr:twoCellAnchor>
    <xdr:from>
      <xdr:col>17</xdr:col>
      <xdr:colOff>111126</xdr:colOff>
      <xdr:row>2</xdr:row>
      <xdr:rowOff>101494</xdr:rowOff>
    </xdr:from>
    <xdr:to>
      <xdr:col>20</xdr:col>
      <xdr:colOff>19686</xdr:colOff>
      <xdr:row>5</xdr:row>
      <xdr:rowOff>99589</xdr:rowOff>
    </xdr:to>
    <xdr:grpSp>
      <xdr:nvGrpSpPr>
        <xdr:cNvPr id="17" name="Group 16">
          <a:extLst>
            <a:ext uri="{FF2B5EF4-FFF2-40B4-BE49-F238E27FC236}">
              <a16:creationId xmlns:a16="http://schemas.microsoft.com/office/drawing/2014/main" id="{55FA8412-BA34-50A9-F2C3-EC28368B862F}"/>
            </a:ext>
          </a:extLst>
        </xdr:cNvPr>
        <xdr:cNvGrpSpPr/>
      </xdr:nvGrpSpPr>
      <xdr:grpSpPr>
        <a:xfrm>
          <a:off x="10546293" y="482494"/>
          <a:ext cx="1750060" cy="569595"/>
          <a:chOff x="10578042" y="544830"/>
          <a:chExt cx="1750060" cy="569595"/>
        </a:xfrm>
      </xdr:grpSpPr>
      <xdr:sp macro="" textlink="">
        <xdr:nvSpPr>
          <xdr:cNvPr id="7" name="Rectangle: Rounded Corners 6">
            <a:extLst>
              <a:ext uri="{FF2B5EF4-FFF2-40B4-BE49-F238E27FC236}">
                <a16:creationId xmlns:a16="http://schemas.microsoft.com/office/drawing/2014/main" id="{063EFE99-98A1-E33B-1A1A-2B04C484D233}"/>
              </a:ext>
            </a:extLst>
          </xdr:cNvPr>
          <xdr:cNvSpPr/>
        </xdr:nvSpPr>
        <xdr:spPr>
          <a:xfrm>
            <a:off x="10578042" y="544830"/>
            <a:ext cx="175006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a:solidFill>
                  <a:schemeClr val="lt1"/>
                </a:solidFill>
                <a:latin typeface="+mn-lt"/>
                <a:ea typeface="+mn-ea"/>
                <a:cs typeface="+mn-cs"/>
              </a:rPr>
              <a:t>Customers</a:t>
            </a:r>
          </a:p>
        </xdr:txBody>
      </xdr:sp>
      <xdr:sp macro="" textlink="Sheet1!D24">
        <xdr:nvSpPr>
          <xdr:cNvPr id="9" name="TextBox 8">
            <a:extLst>
              <a:ext uri="{FF2B5EF4-FFF2-40B4-BE49-F238E27FC236}">
                <a16:creationId xmlns:a16="http://schemas.microsoft.com/office/drawing/2014/main" id="{415F20CD-F2B8-464B-B57A-1087302D2F47}"/>
              </a:ext>
            </a:extLst>
          </xdr:cNvPr>
          <xdr:cNvSpPr txBox="1"/>
        </xdr:nvSpPr>
        <xdr:spPr>
          <a:xfrm>
            <a:off x="10901892" y="847725"/>
            <a:ext cx="105621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902928-C755-47BD-8837-DB7593A972FF}" type="TxLink">
              <a:rPr lang="en-US" sz="1100" b="1" i="0" u="none" strike="noStrike">
                <a:solidFill>
                  <a:srgbClr val="FFFF00"/>
                </a:solidFill>
                <a:latin typeface="Aptos Narrow"/>
                <a:ea typeface="+mn-ea"/>
                <a:cs typeface="+mn-cs"/>
              </a:rPr>
              <a:pPr marL="0" indent="0" algn="ctr"/>
              <a:t>638</a:t>
            </a:fld>
            <a:endParaRPr lang="en-US" sz="1100" b="1" i="0" u="none" strike="noStrike">
              <a:solidFill>
                <a:srgbClr val="FFFF00"/>
              </a:solidFill>
              <a:latin typeface="Aptos Narrow"/>
              <a:ea typeface="+mn-ea"/>
              <a:cs typeface="+mn-cs"/>
            </a:endParaRPr>
          </a:p>
        </xdr:txBody>
      </xdr:sp>
    </xdr:grpSp>
    <xdr:clientData/>
  </xdr:twoCellAnchor>
  <xdr:twoCellAnchor>
    <xdr:from>
      <xdr:col>14</xdr:col>
      <xdr:colOff>309563</xdr:colOff>
      <xdr:row>5</xdr:row>
      <xdr:rowOff>175152</xdr:rowOff>
    </xdr:from>
    <xdr:to>
      <xdr:col>20</xdr:col>
      <xdr:colOff>166688</xdr:colOff>
      <xdr:row>17</xdr:row>
      <xdr:rowOff>83712</xdr:rowOff>
    </xdr:to>
    <xdr:graphicFrame macro="">
      <xdr:nvGraphicFramePr>
        <xdr:cNvPr id="10" name="Chart 9">
          <a:extLst>
            <a:ext uri="{FF2B5EF4-FFF2-40B4-BE49-F238E27FC236}">
              <a16:creationId xmlns:a16="http://schemas.microsoft.com/office/drawing/2014/main" id="{440B2FE8-9FF5-4DC5-B39A-9B1445157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309563</xdr:colOff>
      <xdr:row>17</xdr:row>
      <xdr:rowOff>145520</xdr:rowOff>
    </xdr:from>
    <xdr:to>
      <xdr:col>20</xdr:col>
      <xdr:colOff>166688</xdr:colOff>
      <xdr:row>29</xdr:row>
      <xdr:rowOff>54080</xdr:rowOff>
    </xdr:to>
    <xdr:graphicFrame macro="">
      <xdr:nvGraphicFramePr>
        <xdr:cNvPr id="12" name="Chart 11">
          <a:extLst>
            <a:ext uri="{FF2B5EF4-FFF2-40B4-BE49-F238E27FC236}">
              <a16:creationId xmlns:a16="http://schemas.microsoft.com/office/drawing/2014/main" id="{8319A3DB-9141-49FE-B483-5EE9CABB4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158750</xdr:colOff>
      <xdr:row>2</xdr:row>
      <xdr:rowOff>63500</xdr:rowOff>
    </xdr:from>
    <xdr:to>
      <xdr:col>16</xdr:col>
      <xdr:colOff>31750</xdr:colOff>
      <xdr:row>5</xdr:row>
      <xdr:rowOff>137583</xdr:rowOff>
    </xdr:to>
    <xdr:sp macro="" textlink="">
      <xdr:nvSpPr>
        <xdr:cNvPr id="15" name="TextBox 14">
          <a:extLst>
            <a:ext uri="{FF2B5EF4-FFF2-40B4-BE49-F238E27FC236}">
              <a16:creationId xmlns:a16="http://schemas.microsoft.com/office/drawing/2014/main" id="{B12411F0-F727-87D7-DC45-10B350C44DB9}"/>
            </a:ext>
          </a:extLst>
        </xdr:cNvPr>
        <xdr:cNvSpPr txBox="1"/>
      </xdr:nvSpPr>
      <xdr:spPr>
        <a:xfrm>
          <a:off x="2614083" y="444500"/>
          <a:ext cx="7239000" cy="645583"/>
        </a:xfrm>
        <a:prstGeom prst="roundRect">
          <a:avLst/>
        </a:prstGeom>
        <a:ln>
          <a:noFill/>
          <a:extLst>
            <a:ext uri="{C807C97D-BFC1-408E-A445-0C87EB9F89A2}">
              <ask:lineSketchStyleProps xmlns:ask="http://schemas.microsoft.com/office/drawing/2018/sketchyshapes" sd="981765707">
                <a:custGeom>
                  <a:avLst/>
                  <a:gdLst>
                    <a:gd name="connsiteX0" fmla="*/ 0 w 7239000"/>
                    <a:gd name="connsiteY0" fmla="*/ 0 h 645583"/>
                    <a:gd name="connsiteX1" fmla="*/ 7239000 w 7239000"/>
                    <a:gd name="connsiteY1" fmla="*/ 0 h 645583"/>
                    <a:gd name="connsiteX2" fmla="*/ 7239000 w 7239000"/>
                    <a:gd name="connsiteY2" fmla="*/ 645583 h 645583"/>
                    <a:gd name="connsiteX3" fmla="*/ 0 w 7239000"/>
                    <a:gd name="connsiteY3" fmla="*/ 645583 h 645583"/>
                    <a:gd name="connsiteX4" fmla="*/ 0 w 7239000"/>
                    <a:gd name="connsiteY4" fmla="*/ 0 h 64558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239000" h="645583" fill="none" extrusionOk="0">
                      <a:moveTo>
                        <a:pt x="0" y="0"/>
                      </a:moveTo>
                      <a:cubicBezTo>
                        <a:pt x="3038718" y="-33775"/>
                        <a:pt x="4032223" y="138873"/>
                        <a:pt x="7239000" y="0"/>
                      </a:cubicBezTo>
                      <a:cubicBezTo>
                        <a:pt x="7274582" y="317940"/>
                        <a:pt x="7234885" y="347535"/>
                        <a:pt x="7239000" y="645583"/>
                      </a:cubicBezTo>
                      <a:cubicBezTo>
                        <a:pt x="5148442" y="508253"/>
                        <a:pt x="3310325" y="507727"/>
                        <a:pt x="0" y="645583"/>
                      </a:cubicBezTo>
                      <a:cubicBezTo>
                        <a:pt x="-53009" y="420853"/>
                        <a:pt x="14735" y="158320"/>
                        <a:pt x="0" y="0"/>
                      </a:cubicBezTo>
                      <a:close/>
                    </a:path>
                    <a:path w="7239000" h="645583" stroke="0" extrusionOk="0">
                      <a:moveTo>
                        <a:pt x="0" y="0"/>
                      </a:moveTo>
                      <a:cubicBezTo>
                        <a:pt x="2908901" y="-101487"/>
                        <a:pt x="3855594" y="-162162"/>
                        <a:pt x="7239000" y="0"/>
                      </a:cubicBezTo>
                      <a:cubicBezTo>
                        <a:pt x="7241309" y="78005"/>
                        <a:pt x="7192563" y="571582"/>
                        <a:pt x="7239000" y="645583"/>
                      </a:cubicBezTo>
                      <a:cubicBezTo>
                        <a:pt x="4940812" y="695648"/>
                        <a:pt x="747454" y="487134"/>
                        <a:pt x="0" y="645583"/>
                      </a:cubicBezTo>
                      <a:cubicBezTo>
                        <a:pt x="14" y="512774"/>
                        <a:pt x="-40431" y="110370"/>
                        <a:pt x="0" y="0"/>
                      </a:cubicBezTo>
                      <a:close/>
                    </a:path>
                  </a:pathLst>
                </a:custGeom>
                <ask:type>
                  <ask:lineSketchNone/>
                </ask:type>
              </ask:lineSketchStyleProps>
            </a:ext>
          </a:extLst>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3600">
              <a:solidFill>
                <a:schemeClr val="tx2">
                  <a:lumMod val="75000"/>
                  <a:lumOff val="25000"/>
                </a:schemeClr>
              </a:solidFill>
            </a:rPr>
            <a:t>Sales Performance</a:t>
          </a:r>
          <a:r>
            <a:rPr lang="en-US" sz="3600" baseline="0">
              <a:solidFill>
                <a:schemeClr val="tx2">
                  <a:lumMod val="75000"/>
                  <a:lumOff val="25000"/>
                </a:schemeClr>
              </a:solidFill>
            </a:rPr>
            <a:t> Dashboard</a:t>
          </a:r>
          <a:endParaRPr lang="en-US" sz="3600">
            <a:solidFill>
              <a:schemeClr val="tx2">
                <a:lumMod val="75000"/>
                <a:lumOff val="25000"/>
              </a:schemeClr>
            </a:solidFill>
          </a:endParaRPr>
        </a:p>
      </xdr:txBody>
    </xdr:sp>
    <xdr:clientData/>
  </xdr:twoCellAnchor>
  <xdr:twoCellAnchor editAs="oneCell">
    <xdr:from>
      <xdr:col>20</xdr:col>
      <xdr:colOff>212240</xdr:colOff>
      <xdr:row>5</xdr:row>
      <xdr:rowOff>175152</xdr:rowOff>
    </xdr:from>
    <xdr:to>
      <xdr:col>23</xdr:col>
      <xdr:colOff>399565</xdr:colOff>
      <xdr:row>17</xdr:row>
      <xdr:rowOff>83712</xdr:rowOff>
    </xdr:to>
    <mc:AlternateContent xmlns:mc="http://schemas.openxmlformats.org/markup-compatibility/2006" xmlns:a14="http://schemas.microsoft.com/office/drawing/2010/main">
      <mc:Choice Requires="a14">
        <xdr:graphicFrame macro="">
          <xdr:nvGraphicFramePr>
            <xdr:cNvPr id="20" name="BrandName">
              <a:extLst>
                <a:ext uri="{FF2B5EF4-FFF2-40B4-BE49-F238E27FC236}">
                  <a16:creationId xmlns:a16="http://schemas.microsoft.com/office/drawing/2014/main" id="{62870416-9569-4734-86F8-D44CB20F559C}"/>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12488907" y="1127652"/>
              <a:ext cx="2028825"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211668</xdr:colOff>
      <xdr:row>17</xdr:row>
      <xdr:rowOff>145520</xdr:rowOff>
    </xdr:from>
    <xdr:to>
      <xdr:col>23</xdr:col>
      <xdr:colOff>400136</xdr:colOff>
      <xdr:row>29</xdr:row>
      <xdr:rowOff>54080</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27C805EC-EF53-4655-A1D4-B1D3429EE9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488335" y="3384020"/>
              <a:ext cx="2029968"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85899305553" backgroundQuery="1" createdVersion="8" refreshedVersion="8" minRefreshableVersion="3" recordCount="0" supportSubquery="1" supportAdvancedDrill="1" xr:uid="{E2300F5E-ABED-4835-B06D-7288209997EE}">
  <cacheSource type="external" connectionId="10"/>
  <cacheFields count="2">
    <cacheField name="[Measures].[Total Sales]" caption="Total Sales" numFmtId="0" hierarchy="36" level="32767"/>
    <cacheField name="[Calendar].[Month].[Month]" caption="Month" numFmtId="0" hierarchy="11" level="1">
      <sharedItems count="12">
        <s v="January"/>
        <s v="February"/>
        <s v="March"/>
        <s v="April"/>
        <s v="May"/>
        <s v="June"/>
        <s v="July"/>
        <s v="August"/>
        <s v="September"/>
        <s v="October"/>
        <s v="November"/>
        <s v="December"/>
      </sharedItems>
    </cacheField>
  </cacheFields>
  <cacheHierarchies count="46">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SaleID]" caption="SaleID" attribute="1" defaultMemberUniqueName="[Sales].[SaleID].[All]" allUniqueName="[Sales].[Sale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BranchID]" caption="BranchID" attribute="1" defaultMemberUniqueName="[Sales].[BranchID].[All]" allUniqueName="[Sales].[Branch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Quantity]" caption="Quantity" attribute="1" defaultMemberUniqueName="[Sales].[Quantity].[All]" allUniqueName="[Sales].[Quantity].[All]" dimensionUniqueName="[Sales]" displayFolder="" count="2" memberValueDatatype="20" unbalanced="0"/>
    <cacheHierarchy uniqueName="[Sales].[TotalAmount]" caption="TotalAmount" attribute="1" defaultMemberUniqueName="[Sales].[TotalAmount].[All]" allUniqueName="[Sales].[TotalAmount].[All]" dimensionUniqueName="[Sales]" displayFolder="" count="2" memberValueDatatype="5" unbalanced="0"/>
    <cacheHierarchy uniqueName="[Sales].[PaymentMethod]" caption="PaymentMethod" attribute="1" defaultMemberUniqueName="[Sales].[PaymentMethod].[All]" allUniqueName="[Sales].[PaymentMethod].[All]" dimensionUniqueName="[Sales]" displayFolder="" count="2" memberValueDatatype="130" unbalanced="0"/>
    <cacheHierarchy uniqueName="[Sales].[invoiceCategory]" caption="invoiceCategory" attribute="1" defaultMemberUniqueName="[Sales].[invoiceCategory].[All]" allUniqueName="[Sales].[invoiceCategory].[All]" dimensionUniqueName="[Sales]" displayFolder="" count="2" memberValueDatatype="130" unbalanced="0"/>
    <cacheHierarchy uniqueName="[Measures].[Total Sales]" caption="Total Sales" measure="1" displayFolder="" measureGroup="Sales" count="0" oneField="1">
      <fieldsUsage count="1">
        <fieldUsage x="0"/>
      </fieldsUsage>
    </cacheHierarchy>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859" backgroundQuery="1" createdVersion="8" refreshedVersion="8" minRefreshableVersion="3" recordCount="0" supportSubquery="1" supportAdvancedDrill="1" xr:uid="{1B8D9C13-F6BE-411A-8AF3-AB87B2DEB936}">
  <cacheSource type="external" connectionId="10"/>
  <cacheFields count="3">
    <cacheField name="[Brands].[BrandName].[BrandName]" caption="BrandName" numFmtId="0" hierarchy="5" level="1">
      <sharedItems count="5">
        <s v="Brand A"/>
        <s v="Brand B"/>
        <s v="Brand C"/>
        <s v="Brand D"/>
        <s v="Brand E"/>
      </sharedItems>
    </cacheField>
    <cacheField name="[Measures].[Total Sales]" caption="Total Sales" numFmtId="0" hierarchy="36" level="32767"/>
    <cacheField name="[Calendar].[Month].[Month]" caption="Month" numFmtId="0" hierarchy="1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s].[PaymentID]" caption="PaymentID" attribute="1" defaultMemberUniqueName="[PaymentMethods].[PaymentID].[All]" allUniqueName="[PaymentMethods].[PaymentID].[All]" dimensionUniqueName="[PaymentMethods]" displayFolder="" count="2"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SaleID]" caption="SaleID" attribute="1" defaultMemberUniqueName="[Sales].[SaleID].[All]" allUniqueName="[Sales].[Sale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BranchID]" caption="BranchID" attribute="1" defaultMemberUniqueName="[Sales].[BranchID].[All]" allUniqueName="[Sales].[Branch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Quantity]" caption="Quantity" attribute="1" defaultMemberUniqueName="[Sales].[Quantity].[All]" allUniqueName="[Sales].[Quantity].[All]" dimensionUniqueName="[Sales]" displayFolder="" count="2" memberValueDatatype="20" unbalanced="0"/>
    <cacheHierarchy uniqueName="[Sales].[TotalAmount]" caption="TotalAmount" attribute="1" defaultMemberUniqueName="[Sales].[TotalAmount].[All]" allUniqueName="[Sales].[TotalAmount].[All]" dimensionUniqueName="[Sales]" displayFolder="" count="2" memberValueDatatype="5" unbalanced="0"/>
    <cacheHierarchy uniqueName="[Sales].[PaymentMethod]" caption="PaymentMethod" attribute="1" defaultMemberUniqueName="[Sales].[PaymentMethod].[All]" allUniqueName="[Sales].[PaymentMethod].[All]" dimensionUniqueName="[Sales]" displayFolder="" count="2" memberValueDatatype="130" unbalanced="0"/>
    <cacheHierarchy uniqueName="[Sales].[invoiceCategory]" caption="invoiceCategory" attribute="1" defaultMemberUniqueName="[Sales].[invoiceCategory].[All]" allUniqueName="[Sales].[invoiceCategory].[All]" dimensionUniqueName="[Sales]" displayFolder="" count="2" memberValueDatatype="130" unbalanced="0"/>
    <cacheHierarchy uniqueName="[Measures].[Total Sales]" caption="Total Sales" measure="1" displayFolder="" measureGroup="Sales" count="0" oneField="1">
      <fieldsUsage count="1">
        <fieldUsage x="1"/>
      </fieldsUsage>
    </cacheHierarchy>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85900462962" backgroundQuery="1" createdVersion="8" refreshedVersion="8" minRefreshableVersion="3" recordCount="0" supportSubquery="1" supportAdvancedDrill="1" xr:uid="{2BBE7AF1-84DD-440D-88B3-749D13A49A20}">
  <cacheSource type="external" connectionId="10"/>
  <cacheFields count="3">
    <cacheField name="[Measures].[Total Sales]" caption="Total Sales" numFmtId="0" hierarchy="36" level="32767"/>
    <cacheField name="[Products].[Category].[Category]" caption="Category" numFmtId="0" hierarchy="24" level="1">
      <sharedItems count="5">
        <s v="Beauty"/>
        <s v="Electronics"/>
        <s v="Fashion"/>
        <s v="Home"/>
        <s v="Sports"/>
      </sharedItems>
    </cacheField>
    <cacheField name="[Calendar].[Month].[Month]" caption="Month" numFmtId="0" hierarchy="1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voiceCategory]" caption="invoiceCategory" attribute="1" defaultMemberUniqueName="[Sales].[invoiceCategory].[All]" allUniqueName="[Sales].[invoiceCategory].[All]" dimensionUniqueName="[Sales]" displayFolder="" count="0" memberValueDatatype="130" unbalanced="0"/>
    <cacheHierarchy uniqueName="[Measures].[Total Sales]" caption="Total Sales" measure="1" displayFolder="" measureGroup="Sales" count="0" oneField="1">
      <fieldsUsage count="1">
        <fieldUsage x="0"/>
      </fieldsUsage>
    </cacheHierarchy>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85900810185" backgroundQuery="1" createdVersion="8" refreshedVersion="8" minRefreshableVersion="3" recordCount="0" supportSubquery="1" supportAdvancedDrill="1" xr:uid="{2E75C94F-7AED-4BAD-A90A-39F604F73495}">
  <cacheSource type="external" connectionId="10"/>
  <cacheFields count="3">
    <cacheField name="[Measures].[Total Sales]" caption="Total Sales" numFmtId="0" hierarchy="36" level="32767"/>
    <cacheField name="[Branches].[BranchName].[BranchName]" caption="BranchName" numFmtId="0" hierarchy="1" level="1">
      <sharedItems count="5">
        <s v="Branch 1"/>
        <s v="Branch 2"/>
        <s v="Branch 3"/>
        <s v="Branch 4"/>
        <s v="Branch 5"/>
      </sharedItems>
    </cacheField>
    <cacheField name="[Calendar].[Month].[Month]" caption="Month" numFmtId="0" hierarchy="1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voiceCategory]" caption="invoiceCategory" attribute="1" defaultMemberUniqueName="[Sales].[invoiceCategory].[All]" allUniqueName="[Sales].[invoiceCategory].[All]" dimensionUniqueName="[Sales]" displayFolder="" count="0" memberValueDatatype="130" unbalanced="0"/>
    <cacheHierarchy uniqueName="[Measures].[Total Sales]" caption="Total Sales" measure="1" displayFolder="" measureGroup="Sales" count="0" oneField="1">
      <fieldsUsage count="1">
        <fieldUsage x="0"/>
      </fieldsUsage>
    </cacheHierarchy>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85901504631" backgroundQuery="1" createdVersion="8" refreshedVersion="8" minRefreshableVersion="3" recordCount="0" supportSubquery="1" supportAdvancedDrill="1" xr:uid="{2A1702F6-3F63-46D4-AE14-B7CD46DC4222}">
  <cacheSource type="external" connectionId="10"/>
  <cacheFields count="3">
    <cacheField name="[Measures].[Total Sales]" caption="Total Sales" numFmtId="0" hierarchy="36" level="32767"/>
    <cacheField name="[Sales].[PaymentMethod].[PaymentMethod]" caption="PaymentMethod" numFmtId="0" hierarchy="34" level="1">
      <sharedItems count="4">
        <s v="Bank Transfer"/>
        <s v="Cash"/>
        <s v="Credit Card"/>
        <s v="PayPal"/>
      </sharedItems>
    </cacheField>
    <cacheField name="[Calendar].[Month].[Month]" caption="Month" numFmtId="0" hierarchy="1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2" memberValueDatatype="130" unbalanced="0">
      <fieldsUsage count="2">
        <fieldUsage x="-1"/>
        <fieldUsage x="1"/>
      </fieldsUsage>
    </cacheHierarchy>
    <cacheHierarchy uniqueName="[Sales].[invoiceCategory]" caption="invoiceCategory" attribute="1" defaultMemberUniqueName="[Sales].[invoiceCategory].[All]" allUniqueName="[Sales].[invoiceCategory].[All]" dimensionUniqueName="[Sales]" displayFolder="" count="0" memberValueDatatype="130" unbalanced="0"/>
    <cacheHierarchy uniqueName="[Measures].[Total Sales]" caption="Total Sales" measure="1" displayFolder="" measureGroup="Sales" count="0" oneField="1">
      <fieldsUsage count="1">
        <fieldUsage x="0"/>
      </fieldsUsage>
    </cacheHierarchy>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85901967593" backgroundQuery="1" createdVersion="8" refreshedVersion="8" minRefreshableVersion="3" recordCount="0" supportSubquery="1" supportAdvancedDrill="1" xr:uid="{BDD9A094-1832-49A8-826A-12495686EA2A}">
  <cacheSource type="external" connectionId="10"/>
  <cacheFields count="5">
    <cacheField name="[Measures].[Total Sales]" caption="Total Sales" numFmtId="0" hierarchy="36" level="32767"/>
    <cacheField name="[Sales].[PaymentMethod].[PaymentMethod]" caption="PaymentMethod" numFmtId="0" hierarchy="34" level="1">
      <sharedItems count="4">
        <s v="Bank Transfer"/>
        <s v="Cash"/>
        <s v="Credit Card"/>
        <s v="PayPal"/>
      </sharedItems>
    </cacheField>
    <cacheField name="[Products].[Category].[Category]" caption="Category" numFmtId="0" hierarchy="24" level="1">
      <sharedItems count="5">
        <s v="Beauty"/>
        <s v="Electronics"/>
        <s v="Fashion"/>
        <s v="Home"/>
        <s v="Sports"/>
      </sharedItems>
    </cacheField>
    <cacheField name="[Brands].[BrandName].[BrandName]" caption="BrandName" numFmtId="0" hierarchy="5" level="1">
      <sharedItems count="5">
        <s v="Brand A"/>
        <s v="Brand B"/>
        <s v="Brand C"/>
        <s v="Brand D"/>
        <s v="Brand E"/>
      </sharedItems>
    </cacheField>
    <cacheField name="[Calendar].[Month].[Month]" caption="Month" numFmtId="0" hierarchy="1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3"/>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4"/>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2" memberValueDatatype="130" unbalanced="0">
      <fieldsUsage count="2">
        <fieldUsage x="-1"/>
        <fieldUsage x="1"/>
      </fieldsUsage>
    </cacheHierarchy>
    <cacheHierarchy uniqueName="[Sales].[invoiceCategory]" caption="invoiceCategory" attribute="1" defaultMemberUniqueName="[Sales].[invoiceCategory].[All]" allUniqueName="[Sales].[invoiceCategory].[All]" dimensionUniqueName="[Sales]" displayFolder="" count="0" memberValueDatatype="130" unbalanced="0"/>
    <cacheHierarchy uniqueName="[Measures].[Total Sales]" caption="Total Sales" measure="1" displayFolder="" measureGroup="Sales" count="0" oneField="1">
      <fieldsUsage count="1">
        <fieldUsage x="0"/>
      </fieldsUsage>
    </cacheHierarchy>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85902314816" backgroundQuery="1" createdVersion="8" refreshedVersion="8" minRefreshableVersion="3" recordCount="0" supportSubquery="1" supportAdvancedDrill="1" xr:uid="{4BDE6766-AE26-4A09-946D-36BFFBBF57D4}">
  <cacheSource type="external" connectionId="10"/>
  <cacheFields count="2">
    <cacheField name="[Measures].[Total Sales]" caption="Total Sales" numFmtId="0" hierarchy="36" level="32767"/>
    <cacheField name="[Calendar].[Month].[Month]" caption="Month" numFmtId="0" hierarchy="1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voiceCategory]" caption="invoiceCategory" attribute="1" defaultMemberUniqueName="[Sales].[invoiceCategory].[All]" allUniqueName="[Sales].[invoiceCategory].[All]" dimensionUniqueName="[Sales]" displayFolder="" count="0" memberValueDatatype="130" unbalanced="0"/>
    <cacheHierarchy uniqueName="[Measures].[Total Sales]" caption="Total Sales" measure="1" displayFolder="" measureGroup="Sales" count="0" oneField="1">
      <fieldsUsage count="1">
        <fieldUsage x="0"/>
      </fieldsUsage>
    </cacheHierarchy>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85902430555" backgroundQuery="1" createdVersion="8" refreshedVersion="8" minRefreshableVersion="3" recordCount="0" supportSubquery="1" supportAdvancedDrill="1" xr:uid="{BDB909BA-8EC4-4589-AE73-129D00DB9384}">
  <cacheSource type="external" connectionId="10"/>
  <cacheFields count="2">
    <cacheField name="[Measures].[Customers]" caption="Customers" numFmtId="0" hierarchy="37" level="32767"/>
    <cacheField name="[Calendar].[Month].[Month]" caption="Month" numFmtId="0" hierarchy="11" level="1">
      <sharedItems containsSemiMixedTypes="0" containsNonDate="0" containsString="0"/>
    </cacheField>
  </cacheFields>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voiceCategory]" caption="invoiceCategory" attribute="1" defaultMemberUniqueName="[Sales].[invoiceCategory].[All]" allUniqueName="[Sales].[invoiceCategory].[All]" dimensionUniqueName="[Sales]" displayFolder="" count="0" memberValueDatatype="130" unbalanced="0"/>
    <cacheHierarchy uniqueName="[Measures].[Total Sales]" caption="Total Sales" measure="1" displayFolder="" measureGroup="Sales" count="0"/>
    <cacheHierarchy uniqueName="[Measures].[Customers]" caption="Customers" measure="1" displayFolder="" measureGroup="Sales"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4523715278" backgroundQuery="1" createdVersion="3" refreshedVersion="8" minRefreshableVersion="3" recordCount="0" supportSubquery="1" supportAdvancedDrill="1" xr:uid="{70FFB4BF-7E28-42E0-96BD-F2BFB926E01A}">
  <cacheSource type="external" connectionId="10">
    <extLst>
      <ext xmlns:x14="http://schemas.microsoft.com/office/spreadsheetml/2009/9/main" uri="{F057638F-6D5F-4e77-A914-E7F072B9BCA8}">
        <x14:sourceConnection name="ThisWorkbookDataModel"/>
      </ext>
    </extLst>
  </cacheSource>
  <cacheFields count="0"/>
  <cacheHierarchies count="49">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Year)]" caption="Month (Year)" attribute="1" time="1" defaultMemberUniqueName="[Calendar].[Month (Year)].[All]" allUniqueName="[Calendar].[Month (Year)].[All]" dimensionUniqueName="[Calendar]" displayFolder="" count="0" memberValueDatatype="130" unbalanced="0"/>
    <cacheHierarchy uniqueName="[Calendar].[Month (Month)]" caption="Month (Month)" attribute="1" time="1" defaultMemberUniqueName="[Calendar].[Month (Month)].[All]" allUniqueName="[Calendar].[Month (Month)].[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voiceCategory]" caption="invoiceCategory" attribute="1" defaultMemberUniqueName="[Sales].[invoiceCategory].[All]" allUniqueName="[Sales].[invoiceCategory].[All]" dimensionUniqueName="[Sales]" displayFolder="" count="0" memberValueDatatype="130" unbalanced="0"/>
    <cacheHierarchy uniqueName="[Calendar].[Month (Month Index)]" caption="Month (Month Index)" attribute="1" time="1" defaultMemberUniqueName="[Calendar].[Month (Month Index)].[All]" allUniqueName="[Calendar].[Month (Month Index)].[All]" dimensionUniqueName="[Calendar]" displayFolder="" count="0" memberValueDatatype="20" unbalanced="0" hidden="1"/>
    <cacheHierarchy uniqueName="[Measures].[Total Sales]" caption="Total Sales" measure="1" displayFolder="" measureGroup="Sales" count="0"/>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uniqueName="[Sales]" caption="Sales"/>
  </dimensions>
  <measureGroups count="7">
    <measureGroup name="Branches" caption="Branches"/>
    <measureGroup name="Brands" caption="Brands"/>
    <measureGroup name="Calendar" caption="Calendar"/>
    <measureGroup name="Customers" caption="Customers"/>
    <measureGroup name="PaymentMethods" caption="PaymentMethods"/>
    <measureGroup name="Products" caption="Products"/>
    <measureGroup name="Sales" caption="Sales"/>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licerData="1" pivotCacheId="10981600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 refreshedDate="46260.967866782405" backgroundQuery="1" createdVersion="3" refreshedVersion="8" minRefreshableVersion="3" recordCount="0" supportSubquery="1" supportAdvancedDrill="1" xr:uid="{0B838D6E-4175-48F4-8D0E-E468C3DDE804}">
  <cacheSource type="external" connectionId="10">
    <extLst>
      <ext xmlns:x14="http://schemas.microsoft.com/office/spreadsheetml/2009/9/main" uri="{F057638F-6D5F-4e77-A914-E7F072B9BCA8}">
        <x14:sourceConnection name="ThisWorkbookDataModel"/>
      </ext>
    </extLst>
  </cacheSource>
  <cacheFields count="0"/>
  <cacheHierarchies count="46">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invoiceCategory]" caption="invoiceCategory" attribute="1" defaultMemberUniqueName="[Sales].[invoiceCategory].[All]" allUniqueName="[Sales].[invoiceCategory].[All]" dimensionUniqueName="[Sales]" displayFolder="" count="0" memberValueDatatype="130" unbalanced="0"/>
    <cacheHierarchy uniqueName="[Measures].[Total Sales]" caption="Total Sales" measure="1" displayFolder="" measureGroup="Sales" count="0"/>
    <cacheHierarchy uniqueName="[Measures].[Customers]" caption="Customers" measure="1" displayFolder="" measureGroup="Sales"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92282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BE54A-6149-4D77-B1BD-C6416F9BF794}" name="PivotTable4" cacheId="3" applyNumberFormats="0" applyBorderFormats="0" applyFontFormats="0" applyPatternFormats="0" applyAlignmentFormats="0" applyWidthHeightFormats="1" dataCaption="Values" tag="312c6dc5-b810-479a-bb53-6ba51461e0e2" updatedVersion="8" minRefreshableVersion="3" useAutoFormatting="1" subtotalHiddenItems="1" itemPrintTitles="1" createdVersion="8" indent="0" outline="1" outlineData="1" multipleFieldFilters="0" chartFormat="7">
  <location ref="M3:N9" firstHeaderRow="1" firstDataRow="1" firstDataCol="1"/>
  <pivotFields count="3">
    <pivotField dataField="1" subtotalTop="0" showAll="0" defaultSubtotal="0"/>
    <pivotField name="sales per Branch"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i>
    <i>
      <x v="3"/>
    </i>
    <i>
      <x v="2"/>
    </i>
    <i t="grand">
      <x/>
    </i>
  </rowItems>
  <colItems count="1">
    <i/>
  </colItems>
  <dataFields count="1">
    <dataField fld="0" subtotal="count" baseField="0" baseItem="0"/>
  </dataFields>
  <formats count="2">
    <format dxfId="1">
      <pivotArea type="all" dataOnly="0" outline="0" fieldPosition="0"/>
    </format>
    <format dxfId="0">
      <pivotArea type="all" dataOnly="0" outline="0" fieldPosition="0"/>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activeTabTopLevelEntity name="[Calendar]"/>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B716BF-ED02-47FD-9B9A-0203E683395F}" name="PivotTable3" cacheId="0" applyNumberFormats="0" applyBorderFormats="0" applyFontFormats="0" applyPatternFormats="0" applyAlignmentFormats="0" applyWidthHeightFormats="1" dataCaption="Values" tag="fd7bb1f8-ad40-4cf9-8e6c-8ea5fae891d8" updatedVersion="8" minRefreshableVersion="3" useAutoFormatting="1" subtotalHiddenItems="1" itemPrintTitles="1" createdVersion="8" indent="0" outline="1" outlineData="1" multipleFieldFilters="0" chartFormat="6">
  <location ref="I3:J16" firstHeaderRow="1" firstDataRow="1" firstDataCol="1"/>
  <pivotFields count="2">
    <pivotField dataField="1" subtotalTop="0" showAll="0" defaultSubtotal="0"/>
    <pivotField name="sales per Month"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2">
    <format dxfId="3">
      <pivotArea type="all" dataOnly="0" outline="0" fieldPosition="0"/>
    </format>
    <format dxfId="2">
      <pivotArea type="all" dataOnly="0" outline="0" fieldPosition="0"/>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1587C6-0EF4-4D88-B843-256CEF1AAB1A}" name="PivotTable8" cacheId="7" applyNumberFormats="0" applyBorderFormats="0" applyFontFormats="0" applyPatternFormats="0" applyAlignmentFormats="0" applyWidthHeightFormats="1" dataCaption="Values" tag="c43e83a5-0d24-41e2-9626-eb4b5dd53cf8" updatedVersion="8" minRefreshableVersion="3" useAutoFormatting="1" subtotalHiddenItems="1" itemPrintTitles="1" createdVersion="8" indent="0" outline="1" outlineData="1" multipleFieldFilters="0">
  <location ref="D23:D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337C3B-000F-4F4F-B1D5-F1322830DE1E}" name="PivotTable7" cacheId="6" applyNumberFormats="0" applyBorderFormats="0" applyFontFormats="0" applyPatternFormats="0" applyAlignmentFormats="0" applyWidthHeightFormats="1" dataCaption="Values" tag="841f220e-b320-4a04-a5d1-f4290720d2fb" updatedVersion="8" minRefreshableVersion="3" useAutoFormatting="1" subtotalHiddenItems="1" itemPrintTitles="1" createdVersion="8" indent="0" outline="1" outlineData="1" multipleFieldFilters="0">
  <location ref="B23:B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E31692-8377-498E-815C-253DCBFF768F}" name="PivotTable2" cacheId="2" applyNumberFormats="0" applyBorderFormats="0" applyFontFormats="0" applyPatternFormats="0" applyAlignmentFormats="0" applyWidthHeightFormats="1" dataCaption="Values" tag="b8bf22fd-84fd-4571-b7d7-568079e519ae" updatedVersion="8" minRefreshableVersion="3" useAutoFormatting="1" subtotalHiddenItems="1" itemPrintTitles="1" createdVersion="8" indent="0" outline="1" outlineData="1" multipleFieldFilters="0" chartFormat="11">
  <location ref="F3:G9" firstHeaderRow="1" firstDataRow="1" firstDataCol="1"/>
  <pivotFields count="3">
    <pivotField dataField="1" subtotalTop="0" showAll="0" defaultSubtotal="0"/>
    <pivotField name="sales per Category"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i>
    <i>
      <x v="3"/>
    </i>
    <i>
      <x v="4"/>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84602A-88A4-4F48-933A-FE5F722D5525}" name="PivotTable6" cacheId="5" applyNumberFormats="0" applyBorderFormats="0" applyFontFormats="0" applyPatternFormats="0" applyAlignmentFormats="0" applyWidthHeightFormats="1" dataCaption="Values" tag="95ce81d0-d28d-4b74-b6c0-1188cdf33ab1" updatedVersion="8" minRefreshableVersion="3" useAutoFormatting="1" subtotalHiddenItems="1" itemPrintTitles="1" createdVersion="8" indent="0" outline="1" outlineData="1" multipleFieldFilters="0" chartFormat="25">
  <location ref="M14:S21" firstHeaderRow="1" firstDataRow="2"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name="sales by Category &amp;  Bran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3"/>
  </colFields>
  <colItems count="6">
    <i>
      <x/>
    </i>
    <i>
      <x v="1"/>
    </i>
    <i>
      <x v="2"/>
    </i>
    <i>
      <x v="3"/>
    </i>
    <i>
      <x v="4"/>
    </i>
    <i t="grand">
      <x/>
    </i>
  </colItems>
  <dataFields count="1">
    <dataField fld="0" subtotal="count" baseField="0" baseItem="0"/>
  </dataFields>
  <formats count="20">
    <format dxfId="23">
      <pivotArea type="all" dataOnly="0" outline="0" fieldPosition="0"/>
    </format>
    <format dxfId="22">
      <pivotArea outline="0" collapsedLevelsAreSubtotals="1" fieldPosition="0"/>
    </format>
    <format dxfId="21">
      <pivotArea type="origin" dataOnly="0" labelOnly="1" outline="0" fieldPosition="0"/>
    </format>
    <format dxfId="20">
      <pivotArea field="3" type="button" dataOnly="0" labelOnly="1" outline="0" axis="axisCol" fieldPosition="0"/>
    </format>
    <format dxfId="19">
      <pivotArea type="topRight" dataOnly="0" labelOnly="1" outline="0"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fieldPosition="0">
        <references count="1">
          <reference field="3" count="0"/>
        </references>
      </pivotArea>
    </format>
    <format dxfId="14">
      <pivotArea dataOnly="0" labelOnly="1" grandCol="1" outline="0"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field="3" type="button" dataOnly="0" labelOnly="1" outline="0" axis="axisCol" fieldPosition="0"/>
    </format>
    <format dxfId="9">
      <pivotArea type="topRight" dataOnly="0" labelOnly="1" outline="0"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fieldPosition="0">
        <references count="1">
          <reference field="3" count="0"/>
        </references>
      </pivotArea>
    </format>
    <format dxfId="4">
      <pivotArea dataOnly="0" labelOnly="1" grandCol="1" outline="0" fieldPosition="0"/>
    </format>
  </formats>
  <chartFormats count="7">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10" series="1">
      <pivotArea type="data" outline="0" fieldPosition="0">
        <references count="2">
          <reference field="4294967294" count="1" selected="0">
            <x v="0"/>
          </reference>
          <reference field="3" count="1" selected="0">
            <x v="0"/>
          </reference>
        </references>
      </pivotArea>
    </chartFormat>
    <chartFormat chart="11" format="11" series="1">
      <pivotArea type="data" outline="0" fieldPosition="0">
        <references count="2">
          <reference field="4294967294" count="1" selected="0">
            <x v="0"/>
          </reference>
          <reference field="3" count="1" selected="0">
            <x v="1"/>
          </reference>
        </references>
      </pivotArea>
    </chartFormat>
    <chartFormat chart="11" format="12" series="1">
      <pivotArea type="data" outline="0" fieldPosition="0">
        <references count="2">
          <reference field="4294967294" count="1" selected="0">
            <x v="0"/>
          </reference>
          <reference field="3" count="1" selected="0">
            <x v="2"/>
          </reference>
        </references>
      </pivotArea>
    </chartFormat>
    <chartFormat chart="11" format="13" series="1">
      <pivotArea type="data" outline="0" fieldPosition="0">
        <references count="2">
          <reference field="4294967294" count="1" selected="0">
            <x v="0"/>
          </reference>
          <reference field="3" count="1" selected="0">
            <x v="3"/>
          </reference>
        </references>
      </pivotArea>
    </chartFormat>
    <chartFormat chart="11" format="14" series="1">
      <pivotArea type="data" outline="0" fieldPosition="0">
        <references count="2">
          <reference field="4294967294" count="1" selected="0">
            <x v="0"/>
          </reference>
          <reference field="3" count="1" selected="0">
            <x v="4"/>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6C1215-073D-4636-858C-4E1DC94E9433}" name="PivotTable1" cacheId="1" applyNumberFormats="0" applyBorderFormats="0" applyFontFormats="0" applyPatternFormats="0" applyAlignmentFormats="0" applyWidthHeightFormats="1" dataCaption="Values" tag="cc16922d-c6e2-48eb-bea7-f0a4b0e272e3" updatedVersion="8" minRefreshableVersion="3" useAutoFormatting="1" subtotalHiddenItems="1" itemPrintTitles="1" createdVersion="8" indent="0" outline="1" outlineData="1" multipleFieldFilters="0" chartFormat="4">
  <location ref="C3:D9" firstHeaderRow="1" firstDataRow="1" firstDataCol="1"/>
  <pivotFields count="3">
    <pivotField name="sales per Bran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2"/>
    </i>
    <i>
      <x v="4"/>
    </i>
    <i>
      <x/>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8A6313-B720-47B5-8D75-E3436E8C00A7}" name="PivotTable5" cacheId="4" applyNumberFormats="0" applyBorderFormats="0" applyFontFormats="0" applyPatternFormats="0" applyAlignmentFormats="0" applyWidthHeightFormats="1" dataCaption="Values" tag="614ecdd3-8816-401e-a3eb-a6fbce23e226" updatedVersion="8" minRefreshableVersion="3" useAutoFormatting="1" subtotalHiddenItems="1" itemPrintTitles="1" createdVersion="8" indent="0" outline="1" outlineData="1" multipleFieldFilters="0" chartFormat="8">
  <location ref="C12:D17" firstHeaderRow="1" firstDataRow="1" firstDataCol="1"/>
  <pivotFields count="3">
    <pivotField dataField="1" subtotalTop="0" showAll="0" defaultSubtotal="0"/>
    <pivotField name="sales by PaymentMetho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2"/>
    </i>
    <i>
      <x v="1"/>
    </i>
    <i>
      <x/>
    </i>
    <i t="grand">
      <x/>
    </i>
  </rowItems>
  <colItems count="1">
    <i/>
  </colItems>
  <dataFields count="1">
    <dataFiel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A6B7398F-38F9-4663-B5EB-5CF0806CD7D9}" sourceName="[Brands].[BrandNam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olap pivotCacheId="109816002">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DCF3C8-9639-440A-BE84-BBB9424AE772}" sourceName="[Calendar].[Month]">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olap pivotCacheId="1179228228">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xr10:uid="{7D8B9139-D2E7-4662-8A5B-A1A198E307F8}" cache="Slicer_BrandName" caption="BrandName" level="1" rowHeight="257175"/>
  <slicer name="Month" xr10:uid="{80DC50DD-A1FB-4180-B3A6-92F30532826C}" cache="Slicer_Month" caption="Month" columnCount="2"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764D4-EC75-45CD-9507-D97A4E100192}">
  <dimension ref="B3:S24"/>
  <sheetViews>
    <sheetView topLeftCell="C1" workbookViewId="0">
      <selection activeCell="Y24" sqref="Y24"/>
    </sheetView>
  </sheetViews>
  <sheetFormatPr defaultRowHeight="15" x14ac:dyDescent="0.25"/>
  <cols>
    <col min="2" max="2" width="10.7109375" bestFit="1" customWidth="1"/>
    <col min="3" max="3" width="13.42578125" bestFit="1" customWidth="1"/>
    <col min="4" max="5" width="11" bestFit="1" customWidth="1"/>
    <col min="6" max="6" width="13.42578125" bestFit="1" customWidth="1"/>
    <col min="7" max="7" width="10.7109375" bestFit="1" customWidth="1"/>
    <col min="8" max="8" width="18.140625" bestFit="1" customWidth="1"/>
    <col min="9" max="9" width="15.7109375" bestFit="1" customWidth="1"/>
    <col min="10" max="10" width="10.7109375" bestFit="1" customWidth="1"/>
    <col min="11" max="11" width="7.5703125" bestFit="1" customWidth="1"/>
    <col min="12" max="12" width="11.28515625" bestFit="1" customWidth="1"/>
    <col min="13" max="13" width="15.7109375" bestFit="1" customWidth="1"/>
    <col min="14" max="14" width="19.140625" bestFit="1" customWidth="1"/>
    <col min="15" max="15" width="7.7109375" bestFit="1" customWidth="1"/>
    <col min="16" max="17" width="8" bestFit="1" customWidth="1"/>
    <col min="18" max="18" width="7.7109375" bestFit="1" customWidth="1"/>
    <col min="19" max="19" width="11.28515625" bestFit="1" customWidth="1"/>
    <col min="20" max="21" width="6.5703125" bestFit="1" customWidth="1"/>
    <col min="22" max="22" width="11.28515625" bestFit="1" customWidth="1"/>
  </cols>
  <sheetData>
    <row r="3" spans="3:19" x14ac:dyDescent="0.25">
      <c r="C3" s="2" t="s">
        <v>4</v>
      </c>
      <c r="D3" t="s">
        <v>11</v>
      </c>
      <c r="F3" s="2" t="s">
        <v>4</v>
      </c>
      <c r="G3" t="s">
        <v>11</v>
      </c>
      <c r="I3" s="5" t="s">
        <v>4</v>
      </c>
      <c r="J3" s="6" t="s">
        <v>11</v>
      </c>
      <c r="M3" s="5" t="s">
        <v>4</v>
      </c>
      <c r="N3" s="6" t="s">
        <v>11</v>
      </c>
    </row>
    <row r="4" spans="3:19" x14ac:dyDescent="0.25">
      <c r="C4" s="3" t="s">
        <v>8</v>
      </c>
      <c r="D4" s="4">
        <v>219828.31</v>
      </c>
      <c r="F4" s="3" t="s">
        <v>14</v>
      </c>
      <c r="G4" s="4">
        <v>221302.03</v>
      </c>
      <c r="I4" s="6" t="s">
        <v>17</v>
      </c>
      <c r="J4" s="7">
        <v>97353.21</v>
      </c>
      <c r="M4" s="6" t="s">
        <v>34</v>
      </c>
      <c r="N4" s="7">
        <v>182583.18</v>
      </c>
    </row>
    <row r="5" spans="3:19" x14ac:dyDescent="0.25">
      <c r="C5" s="3" t="s">
        <v>6</v>
      </c>
      <c r="D5" s="4">
        <v>212339.25</v>
      </c>
      <c r="F5" s="3" t="s">
        <v>13</v>
      </c>
      <c r="G5" s="4">
        <v>200355.14</v>
      </c>
      <c r="I5" s="6" t="s">
        <v>18</v>
      </c>
      <c r="J5" s="7">
        <v>83658.13</v>
      </c>
      <c r="M5" s="6" t="s">
        <v>31</v>
      </c>
      <c r="N5" s="7">
        <v>186559.72</v>
      </c>
    </row>
    <row r="6" spans="3:19" x14ac:dyDescent="0.25">
      <c r="C6" s="3" t="s">
        <v>7</v>
      </c>
      <c r="D6" s="4">
        <v>196291.54</v>
      </c>
      <c r="F6" s="3" t="s">
        <v>12</v>
      </c>
      <c r="G6" s="4">
        <v>187779.34</v>
      </c>
      <c r="I6" s="6" t="s">
        <v>19</v>
      </c>
      <c r="J6" s="7">
        <v>76986.91</v>
      </c>
      <c r="M6" s="6" t="s">
        <v>30</v>
      </c>
      <c r="N6" s="7">
        <v>199602.78</v>
      </c>
    </row>
    <row r="7" spans="3:19" x14ac:dyDescent="0.25">
      <c r="C7" s="3" t="s">
        <v>9</v>
      </c>
      <c r="D7" s="4">
        <v>181942.55</v>
      </c>
      <c r="F7" s="3" t="s">
        <v>15</v>
      </c>
      <c r="G7" s="4">
        <v>184997.63</v>
      </c>
      <c r="I7" s="6" t="s">
        <v>20</v>
      </c>
      <c r="J7" s="7">
        <v>78257.009999999995</v>
      </c>
      <c r="M7" s="6" t="s">
        <v>33</v>
      </c>
      <c r="N7" s="7">
        <v>200794.31</v>
      </c>
    </row>
    <row r="8" spans="3:19" x14ac:dyDescent="0.25">
      <c r="C8" s="3" t="s">
        <v>5</v>
      </c>
      <c r="D8" s="4">
        <v>164291.51</v>
      </c>
      <c r="F8" s="3" t="s">
        <v>16</v>
      </c>
      <c r="G8" s="4">
        <v>180259.02</v>
      </c>
      <c r="I8" s="6" t="s">
        <v>21</v>
      </c>
      <c r="J8" s="7">
        <v>75055.47</v>
      </c>
      <c r="M8" s="6" t="s">
        <v>32</v>
      </c>
      <c r="N8" s="7">
        <v>205153.17</v>
      </c>
    </row>
    <row r="9" spans="3:19" x14ac:dyDescent="0.25">
      <c r="C9" s="3" t="s">
        <v>10</v>
      </c>
      <c r="D9" s="4">
        <v>974693.16</v>
      </c>
      <c r="F9" s="3" t="s">
        <v>10</v>
      </c>
      <c r="G9" s="4">
        <v>974693.16</v>
      </c>
      <c r="I9" s="6" t="s">
        <v>22</v>
      </c>
      <c r="J9" s="7">
        <v>78715.960000000006</v>
      </c>
      <c r="M9" s="6" t="s">
        <v>10</v>
      </c>
      <c r="N9" s="7">
        <v>974693.16</v>
      </c>
    </row>
    <row r="10" spans="3:19" x14ac:dyDescent="0.25">
      <c r="I10" s="6" t="s">
        <v>23</v>
      </c>
      <c r="J10" s="7">
        <v>81131.67</v>
      </c>
    </row>
    <row r="11" spans="3:19" x14ac:dyDescent="0.25">
      <c r="I11" s="6" t="s">
        <v>24</v>
      </c>
      <c r="J11" s="7">
        <v>94159.32</v>
      </c>
    </row>
    <row r="12" spans="3:19" x14ac:dyDescent="0.25">
      <c r="C12" s="2" t="s">
        <v>4</v>
      </c>
      <c r="D12" t="s">
        <v>11</v>
      </c>
      <c r="I12" s="6" t="s">
        <v>25</v>
      </c>
      <c r="J12" s="7">
        <v>76538.83</v>
      </c>
    </row>
    <row r="13" spans="3:19" x14ac:dyDescent="0.25">
      <c r="C13" s="3" t="s">
        <v>2</v>
      </c>
      <c r="D13" s="4">
        <v>268474.44</v>
      </c>
      <c r="I13" s="6" t="s">
        <v>26</v>
      </c>
      <c r="J13" s="7">
        <v>83520.679999999993</v>
      </c>
    </row>
    <row r="14" spans="3:19" x14ac:dyDescent="0.25">
      <c r="C14" s="3" t="s">
        <v>1</v>
      </c>
      <c r="D14" s="4">
        <v>248972.84</v>
      </c>
      <c r="I14" s="6" t="s">
        <v>27</v>
      </c>
      <c r="J14" s="7">
        <v>74302.64</v>
      </c>
      <c r="M14" s="8" t="s">
        <v>11</v>
      </c>
      <c r="N14" s="8" t="s">
        <v>29</v>
      </c>
      <c r="O14" s="9"/>
      <c r="P14" s="9"/>
      <c r="Q14" s="9"/>
      <c r="R14" s="9"/>
      <c r="S14" s="9"/>
    </row>
    <row r="15" spans="3:19" x14ac:dyDescent="0.25">
      <c r="C15" s="3" t="s">
        <v>3</v>
      </c>
      <c r="D15" s="4">
        <v>233038.02</v>
      </c>
      <c r="I15" s="6" t="s">
        <v>28</v>
      </c>
      <c r="J15" s="7">
        <v>75013.33</v>
      </c>
      <c r="M15" s="8" t="s">
        <v>4</v>
      </c>
      <c r="N15" s="9" t="s">
        <v>5</v>
      </c>
      <c r="O15" s="9" t="s">
        <v>6</v>
      </c>
      <c r="P15" s="9" t="s">
        <v>7</v>
      </c>
      <c r="Q15" s="9" t="s">
        <v>8</v>
      </c>
      <c r="R15" s="9" t="s">
        <v>9</v>
      </c>
      <c r="S15" s="9" t="s">
        <v>10</v>
      </c>
    </row>
    <row r="16" spans="3:19" x14ac:dyDescent="0.25">
      <c r="C16" s="3" t="s">
        <v>0</v>
      </c>
      <c r="D16" s="4">
        <v>224207.86</v>
      </c>
      <c r="I16" s="6" t="s">
        <v>10</v>
      </c>
      <c r="J16" s="7">
        <v>974693.16</v>
      </c>
      <c r="M16" s="9" t="s">
        <v>12</v>
      </c>
      <c r="N16" s="10">
        <v>16945.87</v>
      </c>
      <c r="O16" s="10">
        <v>47719.63</v>
      </c>
      <c r="P16" s="10">
        <v>37907.71</v>
      </c>
      <c r="Q16" s="10">
        <v>48230.21</v>
      </c>
      <c r="R16" s="10">
        <v>36975.919999999998</v>
      </c>
      <c r="S16" s="10">
        <v>187779.34</v>
      </c>
    </row>
    <row r="17" spans="2:19" x14ac:dyDescent="0.25">
      <c r="C17" s="3" t="s">
        <v>10</v>
      </c>
      <c r="D17" s="4">
        <v>974693.16</v>
      </c>
      <c r="M17" s="9" t="s">
        <v>13</v>
      </c>
      <c r="N17" s="10">
        <v>40237.67</v>
      </c>
      <c r="O17" s="10">
        <v>32167.33</v>
      </c>
      <c r="P17" s="10">
        <v>45580.26</v>
      </c>
      <c r="Q17" s="10">
        <v>50415.79</v>
      </c>
      <c r="R17" s="10">
        <v>31954.09</v>
      </c>
      <c r="S17" s="10">
        <v>200355.14</v>
      </c>
    </row>
    <row r="18" spans="2:19" x14ac:dyDescent="0.25">
      <c r="M18" s="9" t="s">
        <v>14</v>
      </c>
      <c r="N18" s="10">
        <v>37171.54</v>
      </c>
      <c r="O18" s="10">
        <v>66804.320000000007</v>
      </c>
      <c r="P18" s="10">
        <v>42232.26</v>
      </c>
      <c r="Q18" s="10">
        <v>36409.85</v>
      </c>
      <c r="R18" s="10">
        <v>38684.06</v>
      </c>
      <c r="S18" s="10">
        <v>221302.03</v>
      </c>
    </row>
    <row r="19" spans="2:19" x14ac:dyDescent="0.25">
      <c r="M19" s="9" t="s">
        <v>15</v>
      </c>
      <c r="N19" s="10">
        <v>33578.839999999997</v>
      </c>
      <c r="O19" s="10">
        <v>38963.07</v>
      </c>
      <c r="P19" s="10">
        <v>34144.01</v>
      </c>
      <c r="Q19" s="10">
        <v>36480.61</v>
      </c>
      <c r="R19" s="10">
        <v>41831.1</v>
      </c>
      <c r="S19" s="10">
        <v>184997.63</v>
      </c>
    </row>
    <row r="20" spans="2:19" x14ac:dyDescent="0.25">
      <c r="M20" s="9" t="s">
        <v>16</v>
      </c>
      <c r="N20" s="10">
        <v>36357.589999999997</v>
      </c>
      <c r="O20" s="10">
        <v>26684.9</v>
      </c>
      <c r="P20" s="10">
        <v>36427.300000000003</v>
      </c>
      <c r="Q20" s="10">
        <v>48291.85</v>
      </c>
      <c r="R20" s="10">
        <v>32497.38</v>
      </c>
      <c r="S20" s="10">
        <v>180259.02</v>
      </c>
    </row>
    <row r="21" spans="2:19" x14ac:dyDescent="0.25">
      <c r="M21" s="9" t="s">
        <v>10</v>
      </c>
      <c r="N21" s="10">
        <v>164291.51</v>
      </c>
      <c r="O21" s="10">
        <v>212339.25</v>
      </c>
      <c r="P21" s="10">
        <v>196291.54</v>
      </c>
      <c r="Q21" s="10">
        <v>219828.31</v>
      </c>
      <c r="R21" s="10">
        <v>181942.55</v>
      </c>
      <c r="S21" s="10">
        <v>974693.16</v>
      </c>
    </row>
    <row r="23" spans="2:19" x14ac:dyDescent="0.25">
      <c r="B23" t="s">
        <v>11</v>
      </c>
      <c r="D23" t="s">
        <v>35</v>
      </c>
    </row>
    <row r="24" spans="2:19" x14ac:dyDescent="0.25">
      <c r="B24" s="4">
        <v>974693.16</v>
      </c>
      <c r="D24" s="1">
        <v>638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73B52-32F4-449B-9409-9580AF3FCBDE}">
  <dimension ref="A1"/>
  <sheetViews>
    <sheetView showGridLines="0" tabSelected="1" topLeftCell="A6" zoomScale="90" zoomScaleNormal="90" workbookViewId="0">
      <selection activeCell="C2" sqref="C2"/>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96994ACF-83C5-4FA2-BFDA-35F10327CD5F}">
  <ds:schemaRefs/>
</ds:datastoreItem>
</file>

<file path=customXml/itemProps2.xml><?xml version="1.0" encoding="utf-8"?>
<ds:datastoreItem xmlns:ds="http://schemas.openxmlformats.org/officeDocument/2006/customXml" ds:itemID="{0360C627-F96A-4A2B-BFCA-DA8157B9BF1A}">
  <ds:schemaRefs/>
</ds:datastoreItem>
</file>

<file path=customXml/itemProps3.xml><?xml version="1.0" encoding="utf-8"?>
<ds:datastoreItem xmlns:ds="http://schemas.openxmlformats.org/officeDocument/2006/customXml" ds:itemID="{F342FA61-BC98-45F9-ADD3-B986D62F689E}">
  <ds:schemaRefs/>
</ds:datastoreItem>
</file>

<file path=customXml/itemProps4.xml><?xml version="1.0" encoding="utf-8"?>
<ds:datastoreItem xmlns:ds="http://schemas.openxmlformats.org/officeDocument/2006/customXml" ds:itemID="{F45ABA63-63F3-4436-A76B-15A1E4A36246}">
  <ds:schemaRefs/>
</ds:datastoreItem>
</file>

<file path=customXml/itemProps5.xml><?xml version="1.0" encoding="utf-8"?>
<ds:datastoreItem xmlns:ds="http://schemas.openxmlformats.org/officeDocument/2006/customXml" ds:itemID="{88DA38E4-8801-4EA9-B892-74EBC770DA67}">
  <ds:schemaRefs/>
</ds:datastoreItem>
</file>

<file path=customXml/itemProps6.xml><?xml version="1.0" encoding="utf-8"?>
<ds:datastoreItem xmlns:ds="http://schemas.openxmlformats.org/officeDocument/2006/customXml" ds:itemID="{4825C487-D25F-4315-9B06-ED7B51ECBECC}">
  <ds:schemaRefs/>
</ds:datastoreItem>
</file>

<file path=customXml/itemProps7.xml><?xml version="1.0" encoding="utf-8"?>
<ds:datastoreItem xmlns:ds="http://schemas.openxmlformats.org/officeDocument/2006/customXml" ds:itemID="{0B015E5F-EF44-49BD-8032-368B460B417E}">
  <ds:schemaRefs/>
</ds:datastoreItem>
</file>

<file path=customXml/itemProps8.xml><?xml version="1.0" encoding="utf-8"?>
<ds:datastoreItem xmlns:ds="http://schemas.openxmlformats.org/officeDocument/2006/customXml" ds:itemID="{48D67CDB-1447-4B39-A66A-F8F4A1D8A2A2}">
  <ds:schemaRefs/>
</ds:datastoreItem>
</file>

<file path=customXml/itemProps9.xml><?xml version="1.0" encoding="utf-8"?>
<ds:datastoreItem xmlns:ds="http://schemas.openxmlformats.org/officeDocument/2006/customXml" ds:itemID="{9DB4CB3F-2211-4359-8D11-2EDDB848E48A}">
  <ds:schemaRefs/>
</ds:datastoreItem>
</file>

<file path=customXml/itemProps10.xml><?xml version="1.0" encoding="utf-8"?>
<ds:datastoreItem xmlns:ds="http://schemas.openxmlformats.org/officeDocument/2006/customXml" ds:itemID="{AAAC672E-6F0E-4AF3-9B40-933FD526D9F2}">
  <ds:schemaRefs/>
</ds:datastoreItem>
</file>

<file path=customXml/itemProps11.xml><?xml version="1.0" encoding="utf-8"?>
<ds:datastoreItem xmlns:ds="http://schemas.openxmlformats.org/officeDocument/2006/customXml" ds:itemID="{B42A1879-35B7-4E87-A695-6A36DB745ACE}">
  <ds:schemaRefs/>
</ds:datastoreItem>
</file>

<file path=customXml/itemProps12.xml><?xml version="1.0" encoding="utf-8"?>
<ds:datastoreItem xmlns:ds="http://schemas.openxmlformats.org/officeDocument/2006/customXml" ds:itemID="{6D8E6AB2-67EA-4302-A830-95FD527A9CD2}">
  <ds:schemaRefs/>
</ds:datastoreItem>
</file>

<file path=customXml/itemProps13.xml><?xml version="1.0" encoding="utf-8"?>
<ds:datastoreItem xmlns:ds="http://schemas.openxmlformats.org/officeDocument/2006/customXml" ds:itemID="{9BB5A10C-B367-4DB2-84A5-0425E9569902}">
  <ds:schemaRefs/>
</ds:datastoreItem>
</file>

<file path=customXml/itemProps14.xml><?xml version="1.0" encoding="utf-8"?>
<ds:datastoreItem xmlns:ds="http://schemas.openxmlformats.org/officeDocument/2006/customXml" ds:itemID="{EF7F099E-3BCA-4FCC-974D-C0DEBAC9310A}">
  <ds:schemaRefs/>
</ds:datastoreItem>
</file>

<file path=customXml/itemProps15.xml><?xml version="1.0" encoding="utf-8"?>
<ds:datastoreItem xmlns:ds="http://schemas.openxmlformats.org/officeDocument/2006/customXml" ds:itemID="{70D351A4-D987-4AD7-9D15-95CAC0EE9ECE}">
  <ds:schemaRefs/>
</ds:datastoreItem>
</file>

<file path=customXml/itemProps16.xml><?xml version="1.0" encoding="utf-8"?>
<ds:datastoreItem xmlns:ds="http://schemas.openxmlformats.org/officeDocument/2006/customXml" ds:itemID="{6331F383-3055-4D1A-82EA-D3CBEAB5758E}">
  <ds:schemaRefs/>
</ds:datastoreItem>
</file>

<file path=customXml/itemProps17.xml><?xml version="1.0" encoding="utf-8"?>
<ds:datastoreItem xmlns:ds="http://schemas.openxmlformats.org/officeDocument/2006/customXml" ds:itemID="{4A68486D-6ECA-4AFB-B388-9549EBAFB0A3}">
  <ds:schemaRefs>
    <ds:schemaRef ds:uri="http://schemas.microsoft.com/DataMashup"/>
  </ds:schemaRefs>
</ds:datastoreItem>
</file>

<file path=customXml/itemProps18.xml><?xml version="1.0" encoding="utf-8"?>
<ds:datastoreItem xmlns:ds="http://schemas.openxmlformats.org/officeDocument/2006/customXml" ds:itemID="{03B05D1B-7552-457F-ABE7-72E37A28F063}">
  <ds:schemaRefs/>
</ds:datastoreItem>
</file>

<file path=customXml/itemProps19.xml><?xml version="1.0" encoding="utf-8"?>
<ds:datastoreItem xmlns:ds="http://schemas.openxmlformats.org/officeDocument/2006/customXml" ds:itemID="{AD8B886B-4674-4A71-81DE-71EF1BA2231C}">
  <ds:schemaRefs/>
</ds:datastoreItem>
</file>

<file path=customXml/itemProps20.xml><?xml version="1.0" encoding="utf-8"?>
<ds:datastoreItem xmlns:ds="http://schemas.openxmlformats.org/officeDocument/2006/customXml" ds:itemID="{79C3ACEF-0727-49B8-9D0E-44FFE0773FFB}">
  <ds:schemaRefs/>
</ds:datastoreItem>
</file>

<file path=customXml/itemProps21.xml><?xml version="1.0" encoding="utf-8"?>
<ds:datastoreItem xmlns:ds="http://schemas.openxmlformats.org/officeDocument/2006/customXml" ds:itemID="{D0EBE332-704C-40F8-9889-09035D305011}">
  <ds:schemaRefs/>
</ds:datastoreItem>
</file>

<file path=customXml/itemProps22.xml><?xml version="1.0" encoding="utf-8"?>
<ds:datastoreItem xmlns:ds="http://schemas.openxmlformats.org/officeDocument/2006/customXml" ds:itemID="{69C864C4-190D-4F83-888E-EC2CA0656F63}">
  <ds:schemaRefs/>
</ds:datastoreItem>
</file>

<file path=customXml/itemProps23.xml><?xml version="1.0" encoding="utf-8"?>
<ds:datastoreItem xmlns:ds="http://schemas.openxmlformats.org/officeDocument/2006/customXml" ds:itemID="{E535276D-2BF2-4A88-8696-C08571C882B3}">
  <ds:schemaRefs/>
</ds:datastoreItem>
</file>

<file path=customXml/itemProps24.xml><?xml version="1.0" encoding="utf-8"?>
<ds:datastoreItem xmlns:ds="http://schemas.openxmlformats.org/officeDocument/2006/customXml" ds:itemID="{1A1568B3-FB4E-46E1-AB53-98DE5E38300D}">
  <ds:schemaRefs/>
</ds:datastoreItem>
</file>

<file path=customXml/itemProps25.xml><?xml version="1.0" encoding="utf-8"?>
<ds:datastoreItem xmlns:ds="http://schemas.openxmlformats.org/officeDocument/2006/customXml" ds:itemID="{42346DD1-7980-4BFE-9BED-188779FD2011}">
  <ds:schemaRefs/>
</ds:datastoreItem>
</file>

<file path=customXml/itemProps26.xml><?xml version="1.0" encoding="utf-8"?>
<ds:datastoreItem xmlns:ds="http://schemas.openxmlformats.org/officeDocument/2006/customXml" ds:itemID="{8C45AB2D-34F6-4625-B7C7-8EF3C2A9EB03}">
  <ds:schemaRefs/>
</ds:datastoreItem>
</file>

<file path=customXml/itemProps27.xml><?xml version="1.0" encoding="utf-8"?>
<ds:datastoreItem xmlns:ds="http://schemas.openxmlformats.org/officeDocument/2006/customXml" ds:itemID="{2FF9B42F-2913-406D-BF15-BBD7F49DB23F}">
  <ds:schemaRefs/>
</ds:datastoreItem>
</file>

<file path=customXml/itemProps28.xml><?xml version="1.0" encoding="utf-8"?>
<ds:datastoreItem xmlns:ds="http://schemas.openxmlformats.org/officeDocument/2006/customXml" ds:itemID="{068454AB-09F2-4E45-B777-3E4DA1D0C5C7}">
  <ds:schemaRefs/>
</ds:datastoreItem>
</file>

<file path=customXml/itemProps29.xml><?xml version="1.0" encoding="utf-8"?>
<ds:datastoreItem xmlns:ds="http://schemas.openxmlformats.org/officeDocument/2006/customXml" ds:itemID="{48676D8E-CE9F-4D33-8842-2AB221100916}">
  <ds:schemaRefs/>
</ds:datastoreItem>
</file>

<file path=customXml/itemProps30.xml><?xml version="1.0" encoding="utf-8"?>
<ds:datastoreItem xmlns:ds="http://schemas.openxmlformats.org/officeDocument/2006/customXml" ds:itemID="{F8E7D3B5-C120-4A7F-A5D0-E6C9AC7FA9F8}">
  <ds:schemaRefs/>
</ds:datastoreItem>
</file>

<file path=customXml/itemProps31.xml><?xml version="1.0" encoding="utf-8"?>
<ds:datastoreItem xmlns:ds="http://schemas.openxmlformats.org/officeDocument/2006/customXml" ds:itemID="{2EB79485-C905-415B-BAA8-60F8A77368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Ramadan</dc:creator>
  <cp:lastModifiedBy>20912022100941</cp:lastModifiedBy>
  <dcterms:created xsi:type="dcterms:W3CDTF">2026-08-26T19:39:00Z</dcterms:created>
  <dcterms:modified xsi:type="dcterms:W3CDTF">2026-08-31T02:02:31Z</dcterms:modified>
</cp:coreProperties>
</file>